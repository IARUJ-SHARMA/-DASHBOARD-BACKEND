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ttps://d.docs.live.net/841abc774317df50/Desktop/"/>
    </mc:Choice>
  </mc:AlternateContent>
  <xr:revisionPtr revIDLastSave="42" documentId="11_F7FC1742F3B5B5C4C1F9F036D5AEF24CB7B4329D" xr6:coauthVersionLast="47" xr6:coauthVersionMax="47" xr10:uidLastSave="{6D908A63-2023-4E08-974D-B565C1E909B5}"/>
  <bookViews>
    <workbookView xWindow="-108" yWindow="-108" windowWidth="23256" windowHeight="13176" tabRatio="500" firstSheet="3" activeTab="5" xr2:uid="{00000000-000D-0000-FFFF-FFFF00000000}"/>
  </bookViews>
  <sheets>
    <sheet name="GUIDE" sheetId="1" r:id="rId1"/>
    <sheet name="SUBSYSTEM_MASTER" sheetId="2" r:id="rId2"/>
    <sheet name="CHECKLIST_TASKS" sheetId="3" r:id="rId3"/>
    <sheet name="CONSUMABLES" sheetId="4" r:id="rId4"/>
    <sheet name="FIXED_LIFE_SPARES" sheetId="5" r:id="rId5"/>
    <sheet name="CALENDAR_EVENTS" sheetId="6" r:id="rId6"/>
    <sheet name="USERS_RBAC" sheetId="7" r:id="rId7"/>
    <sheet name="PM_RECORDS" sheetId="8" r:id="rId8"/>
    <sheet name="RESCHEDULE_LOG" sheetId="9" r:id="rId9"/>
    <sheet name="SUMMARY_METRIC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5" l="1"/>
  <c r="H25" i="4"/>
  <c r="G17" i="2"/>
</calcChain>
</file>

<file path=xl/sharedStrings.xml><?xml version="1.0" encoding="utf-8"?>
<sst xmlns="http://schemas.openxmlformats.org/spreadsheetml/2006/main" count="1835" uniqueCount="1037">
  <si>
    <t>RADAR PREVENTIVE MAINTENANCE DASHBOARD</t>
  </si>
  <si>
    <t>INPUT DATA WORKBOOK  ·  RPM-SYRS-2026-001 Rev 1.0</t>
  </si>
  <si>
    <t>Prepared for: SW Development Team  |  Classification: CONFIDENTIAL – Internal Use Only</t>
  </si>
  <si>
    <t>HOW TO USE THIS WORKBOOK</t>
  </si>
  <si>
    <t>📋 Purpose</t>
  </si>
  <si>
    <t>This workbook is the master input data source for implementing the RPM Dashboard GUI. Each sheet maps directly to a GUI panel or data feed.</t>
  </si>
  <si>
    <t>🖥️  GUI Panels</t>
  </si>
  <si>
    <t>The dashboard has 4 panels: (1) Summary Metrics  (2) Calendar Grid  (3) Subsystem Eligibility + Checklist  (4) Task Instruction Panel + Inventory Tab</t>
  </si>
  <si>
    <t>📂 Sheet Map</t>
  </si>
  <si>
    <t>SUBSYSTEM_MASTER → drives eligibility engine &amp; calendar  |  CHECKLIST_TASKS → populates checklist &amp; task panel  |  CONSUMABLES &amp; FIXED_LIFE_SPARES → drives inventory tab  |  USERS → RBAC login</t>
  </si>
  <si>
    <t>✏️  Data Entry</t>
  </si>
  <si>
    <t>Fill WHITE cells. GREY cells are computed/read-only. GREEN = Adequate. RED = Low Stock / Alert. AMBER = Warning.</t>
  </si>
  <si>
    <t>🔗 Cross-refs</t>
  </si>
  <si>
    <t>All dashboard logic reads from this file via INF-01 (Local Excel). Columns are named to match DB field names directly.</t>
  </si>
  <si>
    <t>⚠️  Mandatory</t>
  </si>
  <si>
    <t>Fields marked MANDATORY must not be blank — the dashboard will not render correctly without them.</t>
  </si>
  <si>
    <t>SHEET DIRECTORY</t>
  </si>
  <si>
    <t>1</t>
  </si>
  <si>
    <t>GUIDE</t>
  </si>
  <si>
    <t>This sheet – purpose, colour key, navigation guide</t>
  </si>
  <si>
    <t>2</t>
  </si>
  <si>
    <t>SUBSYSTEM_MASTER</t>
  </si>
  <si>
    <t>Master register of all 11 radar subsystems – frequencies, durations, icons, display order</t>
  </si>
  <si>
    <t>3</t>
  </si>
  <si>
    <t>CHECKLIST_TASKS</t>
  </si>
  <si>
    <t>All checklist items + task instruction data per subsystem (title, description, time, tools, PPE, video ref, image ref)</t>
  </si>
  <si>
    <t>4</t>
  </si>
  <si>
    <t>CONSUMABLES</t>
  </si>
  <si>
    <t>Inventory consumables – item name, subsystem, current qty, unit, threshold, status</t>
  </si>
  <si>
    <t>5</t>
  </si>
  <si>
    <t>FIXED_LIFE_SPARES</t>
  </si>
  <si>
    <t>Fixed life span spares – item, subsystem, install date, life months, months remaining, status</t>
  </si>
  <si>
    <t>6</t>
  </si>
  <si>
    <t>CALENDAR_EVENTS</t>
  </si>
  <si>
    <t>Pre-loaded calendar event schedule – subsystem, date, frequency label, colour code</t>
  </si>
  <si>
    <t>7</t>
  </si>
  <si>
    <t>USERS_RBAC</t>
  </si>
  <si>
    <t>User register for RBAC – user ID, name, role (Technician/Engineer/Admin), password hash, status</t>
  </si>
  <si>
    <t>8</t>
  </si>
  <si>
    <t>PM_RECORDS</t>
  </si>
  <si>
    <t>Completed PM records log – date, subsystem, technician, checklist completion, remarks, sign-off</t>
  </si>
  <si>
    <t>9</t>
  </si>
  <si>
    <t>RESCHEDULE_LOG</t>
  </si>
  <si>
    <t>Log of rescheduled PM events – original date, new date, reason, authorised by</t>
  </si>
  <si>
    <t>10</t>
  </si>
  <si>
    <t>SUMMARY_METRICS</t>
  </si>
  <si>
    <t>Config table for dashboard summary widgets – metric label, formula source, display unit</t>
  </si>
  <si>
    <t>COLOUR KEY</t>
  </si>
  <si>
    <t xml:space="preserve"> </t>
  </si>
  <si>
    <t>Weekly PM</t>
  </si>
  <si>
    <t>Calendar: Weekly tasks shown in Blue</t>
  </si>
  <si>
    <t>Monthly PM</t>
  </si>
  <si>
    <t>Calendar: Monthly tasks shown in Red</t>
  </si>
  <si>
    <t>Quarterly PM</t>
  </si>
  <si>
    <t>Calendar: Quarterly tasks shown in Green</t>
  </si>
  <si>
    <t>Annual PM</t>
  </si>
  <si>
    <t>Calendar: Annual tasks shown in Amber</t>
  </si>
  <si>
    <t>Adequate / OK</t>
  </si>
  <si>
    <t>Inventory: Stock adequate, life span OK</t>
  </si>
  <si>
    <t>Low Stock / Alert</t>
  </si>
  <si>
    <t>Inventory: Below threshold or life expired</t>
  </si>
  <si>
    <t>Warning</t>
  </si>
  <si>
    <t>Life span ≤ 2 months remaining – order now</t>
  </si>
  <si>
    <t>Read-Only / Computed</t>
  </si>
  <si>
    <t>Do not edit these cells directly</t>
  </si>
  <si>
    <t>Input Cell</t>
  </si>
  <si>
    <t>White / light blue = data entry cell</t>
  </si>
  <si>
    <t>SUBSYSTEM MASTER REGISTER</t>
  </si>
  <si>
    <t>Drives: Calendar Grid · Eligibility Engine · Summary Metrics  |  SyRS: SYS-ELG-002, SYS-ELG-005</t>
  </si>
  <si>
    <t>#</t>
  </si>
  <si>
    <t>Subsystem_ID</t>
  </si>
  <si>
    <t>Subsystem_Full_Name</t>
  </si>
  <si>
    <t>PM_Frequency</t>
  </si>
  <si>
    <t>Freq_Colour_Code</t>
  </si>
  <si>
    <t>Hex_Colour</t>
  </si>
  <si>
    <t>Est_Duration_hrs</t>
  </si>
  <si>
    <t>Display_Order</t>
  </si>
  <si>
    <t>Active_Flag</t>
  </si>
  <si>
    <t>Dashboard_Icon</t>
  </si>
  <si>
    <t>Subsystem_Category</t>
  </si>
  <si>
    <t>SyRS_Ref</t>
  </si>
  <si>
    <t>Notes</t>
  </si>
  <si>
    <t>Last_Updated</t>
  </si>
  <si>
    <t>LCU</t>
  </si>
  <si>
    <t>Logic Control Unit</t>
  </si>
  <si>
    <t>Weekly</t>
  </si>
  <si>
    <t>Blue</t>
  </si>
  <si>
    <t>#1D4ED8</t>
  </si>
  <si>
    <t>Y</t>
  </si>
  <si>
    <t>⚡</t>
  </si>
  <si>
    <t>Power &amp; Control</t>
  </si>
  <si>
    <t>SYS-ELG-005</t>
  </si>
  <si>
    <t>See SyRS §4.1.2</t>
  </si>
  <si>
    <t>2026-05-24</t>
  </si>
  <si>
    <t>Rectifier</t>
  </si>
  <si>
    <t>Monthly</t>
  </si>
  <si>
    <t>Red</t>
  </si>
  <si>
    <t>#B91C1C</t>
  </si>
  <si>
    <t>🔌</t>
  </si>
  <si>
    <t>DG_GEN</t>
  </si>
  <si>
    <t>DG Generator</t>
  </si>
  <si>
    <t>Annual</t>
  </si>
  <si>
    <t>Amber</t>
  </si>
  <si>
    <t>#92400E</t>
  </si>
  <si>
    <t>🔧</t>
  </si>
  <si>
    <t>Power Generation</t>
  </si>
  <si>
    <t>QJB</t>
  </si>
  <si>
    <t>Quick Junction Box</t>
  </si>
  <si>
    <t>Quarterly</t>
  </si>
  <si>
    <t>Green</t>
  </si>
  <si>
    <t>#15803D</t>
  </si>
  <si>
    <t>Power Distribution</t>
  </si>
  <si>
    <t>IFF</t>
  </si>
  <si>
    <t>IFF Scheduler</t>
  </si>
  <si>
    <t>📡</t>
  </si>
  <si>
    <t>RF / Identification</t>
  </si>
  <si>
    <t>STM</t>
  </si>
  <si>
    <t>Signal Timing Module</t>
  </si>
  <si>
    <t>🕐</t>
  </si>
  <si>
    <t>Signal Processing</t>
  </si>
  <si>
    <t>MCU</t>
  </si>
  <si>
    <t>Master Control Unit</t>
  </si>
  <si>
    <t>💻</t>
  </si>
  <si>
    <t>Processing &amp; Control</t>
  </si>
  <si>
    <t>DBF</t>
  </si>
  <si>
    <t>Digital Beam Forming</t>
  </si>
  <si>
    <t>📶</t>
  </si>
  <si>
    <t>Antenna / Beam</t>
  </si>
  <si>
    <t>DTRM</t>
  </si>
  <si>
    <t>Dual T/R Module</t>
  </si>
  <si>
    <t>RF Transmit/Receive</t>
  </si>
  <si>
    <t>DRM</t>
  </si>
  <si>
    <t>Digital Receiver Module</t>
  </si>
  <si>
    <t>📥</t>
  </si>
  <si>
    <t>NFS</t>
  </si>
  <si>
    <t>North Finding System</t>
  </si>
  <si>
    <t>🧭</t>
  </si>
  <si>
    <t>Navigation/Reference</t>
  </si>
  <si>
    <t>TOTAL ACTIVE SUBSYSTEMS →</t>
  </si>
  <si>
    <t>Total estimated daily time depends on date – see SUMMARY_METRICS</t>
  </si>
  <si>
    <t>CHECKLIST &amp; TASK INSTRUCTION DATA</t>
  </si>
  <si>
    <t>Drives: Daily Checklist Panel · Task Instruction Panel (title, desc, time, tools, PPE, video, image)  |  SyRS: SYS-TSK-001 to SYS-TSK-006</t>
  </si>
  <si>
    <t>Task_ID</t>
  </si>
  <si>
    <t>Step_No</t>
  </si>
  <si>
    <t>Checklist_Item_Short</t>
  </si>
  <si>
    <t>Task_Title</t>
  </si>
  <si>
    <t>Task_Description</t>
  </si>
  <si>
    <t>Approx_Time_min</t>
  </si>
  <si>
    <t>Special_Tools</t>
  </si>
  <si>
    <t>PPE_Requirements</t>
  </si>
  <si>
    <t>Video_Ref_Filename</t>
  </si>
  <si>
    <t>Image_Ref_Filename</t>
  </si>
  <si>
    <t>Mandatory_Flag</t>
  </si>
  <si>
    <t>Completion_Status</t>
  </si>
  <si>
    <t xml:space="preserve">  ▶  Logic Control Unit (LCU) — Weekly</t>
  </si>
  <si>
    <t>LCU-T01</t>
  </si>
  <si>
    <t>Verify Input Power Stability (AC/DC nominal)</t>
  </si>
  <si>
    <t>Input Power Stability Check</t>
  </si>
  <si>
    <t>Digital Multimeter (Fluke 87V)</t>
  </si>
  <si>
    <t>Anti-static wrist strap, Safety glasses</t>
  </si>
  <si>
    <t>LCU_T01_Power_Check.mp4</t>
  </si>
  <si>
    <t>LCU_Power_Panel.jpg</t>
  </si>
  <si>
    <t>SYS-TSK-003</t>
  </si>
  <si>
    <t>PENDING</t>
  </si>
  <si>
    <t>LCU-T02</t>
  </si>
  <si>
    <t>Check all Control Panel Indicator LEDs</t>
  </si>
  <si>
    <t>Control Panel LED Status Verification</t>
  </si>
  <si>
    <t>Inspect all status LEDs on LCU control panel. All green indicators should be lit. Record any red or amber indicators. Cross-check against system event log for correlated fault codes.</t>
  </si>
  <si>
    <t>Visual inspection only</t>
  </si>
  <si>
    <t>Safety glasses</t>
  </si>
  <si>
    <t>LCU_T02_LED_Check.mp4</t>
  </si>
  <si>
    <t>LCU_Panel_LEDs.jpg</t>
  </si>
  <si>
    <t>SYS-TSK-001</t>
  </si>
  <si>
    <t>LCU-T03</t>
  </si>
  <si>
    <t>Inspect and clean Cooling Fans &amp; Vents</t>
  </si>
  <si>
    <t>Cooling Fan &amp; Vent Inspection</t>
  </si>
  <si>
    <t>Remove access panel. Inspect all cooling fans for debris, bearing noise, and proper rotation. Clean fan grilles with compressed air. Verify fan RPM is within rated range. Replace any seized fans.</t>
  </si>
  <si>
    <t>Compressed air can, Soft brush kit, Tachometer</t>
  </si>
  <si>
    <t>Anti-static wrist strap, Safety glasses, Gloves</t>
  </si>
  <si>
    <t>LCU_T03_Fan_Inspect.mp4</t>
  </si>
  <si>
    <t>LCU_Fan_Assembly.jpg</t>
  </si>
  <si>
    <t>LCU-T04</t>
  </si>
  <si>
    <t>Measure DC Bus Voltage (24V ±0.5V)</t>
  </si>
  <si>
    <t>DC Bus Voltage Measurement</t>
  </si>
  <si>
    <t>Measure DC bus voltage at test points TP1 and TP2 on LCU backplane. Record values. Acceptable range: 23.5V to 24.5V. If outside tolerance, check rectifier output and cabling. Log readings.</t>
  </si>
  <si>
    <t>Digital Multimeter</t>
  </si>
  <si>
    <t>Anti-static wrist strap, Insulated probes</t>
  </si>
  <si>
    <t>LCU_T04_Bus_Voltage.mp4</t>
  </si>
  <si>
    <t>LCU_Test_Points.jpg</t>
  </si>
  <si>
    <t>LCU-T05</t>
  </si>
  <si>
    <t>Inspect Cable Looms &amp; Connector Integrity</t>
  </si>
  <si>
    <t>Cable Loom &amp; Connector Visual Inspection</t>
  </si>
  <si>
    <t>Inspect all cable looms inside LCU for chafing, kinking, loose connectors, or signs of overheating. Gently tug each connector to confirm secure seating. Photograph any damaged sections and log.</t>
  </si>
  <si>
    <t>Visual inspection, Torch</t>
  </si>
  <si>
    <t>Anti-static wrist strap</t>
  </si>
  <si>
    <t>LCU_T05_Cable_Inspect.mp4</t>
  </si>
  <si>
    <t>LCU_Cables.jpg</t>
  </si>
  <si>
    <t>LCU-T06</t>
  </si>
  <si>
    <t>Scan Event Log for Fault/Warning Codes</t>
  </si>
  <si>
    <t>Event Log Scan</t>
  </si>
  <si>
    <t>Access LCU diagnostic interface. Export and review last 7 days of event log entries. Note all WARNING or FAULT level codes. Cross-reference with subsystem fault manual. Document any open faults.</t>
  </si>
  <si>
    <t>Laptop with LCU diagnostic software</t>
  </si>
  <si>
    <t>LCU_T06_Event_Log.mp4</t>
  </si>
  <si>
    <t>LCU_Event_Log_Screen.jpg</t>
  </si>
  <si>
    <t xml:space="preserve">  ▶  Rectifier — Monthly</t>
  </si>
  <si>
    <t>REC-T01</t>
  </si>
  <si>
    <t>Verify Input Power Stability</t>
  </si>
  <si>
    <t>Rectifier Input Power Check</t>
  </si>
  <si>
    <t>Measure AC input voltage at rectifier input terminals. Nominal: 415V 3-phase ±5%. Check phase balance. Record L1-L2, L2-L3, L3-L1 readings. Any imbalance &gt;5% must be reported.</t>
  </si>
  <si>
    <t>Digital Multimeter (HV rated)</t>
  </si>
  <si>
    <t>Insulated gloves (1kV), Hard Hat, Safety glasses</t>
  </si>
  <si>
    <t>REC_T01_Input_Power.mp4</t>
  </si>
  <si>
    <t>REC_Input_Terminals.jpg</t>
  </si>
  <si>
    <t>REC-T02</t>
  </si>
  <si>
    <t>Measure DC Output Voltage (24V ±0.5V)</t>
  </si>
  <si>
    <t>DC Output Voltage Measurement</t>
  </si>
  <si>
    <t>Measure DC output at rectifier terminals. Record voltage: nominal 24V DC ±0.5V. Check ripple voltage with oscilloscope if available. Values outside tolerance indicate capacitor or regulation fault.</t>
  </si>
  <si>
    <t>Digital Multimeter, Oscilloscope (optional)</t>
  </si>
  <si>
    <t>Insulated gloves (1kV), Safety glasses</t>
  </si>
  <si>
    <t>REC_T02_DC_Output.mp4</t>
  </si>
  <si>
    <t>REC_Output_Terminals.jpg</t>
  </si>
  <si>
    <t>REC-T03</t>
  </si>
  <si>
    <t>Inspect Cooling Fans &amp; Vents</t>
  </si>
  <si>
    <t>Rectifier Cooling Fan Inspection</t>
  </si>
  <si>
    <t>Inspect rectifier cooling fans and heat-sink fins. Clean with compressed air. Check fan rotation direction and speed. Ensure air-flow is unobstructed. Replace any failed fans before next PM cycle.</t>
  </si>
  <si>
    <t>Compressed air can, Tachometer</t>
  </si>
  <si>
    <t>Safety glasses, Gloves</t>
  </si>
  <si>
    <t>REC_T03_Fans.mp4</t>
  </si>
  <si>
    <t>REC_Fan_Unit.jpg</t>
  </si>
  <si>
    <t>REC-T04</t>
  </si>
  <si>
    <t>Inspect and Lubricate Rotating Antenna Bearings</t>
  </si>
  <si>
    <t>Lubricate Rotating Antenna Bearings</t>
  </si>
  <si>
    <t>Apply specified bearing grease (EP-2) to main bull gear and pinion teeth using grease gun. Apply 2-3 shots per bearing. Rotate antenna drive slowly by hand through 360° to distribute grease evenly. Wipe excess. Log grease quantity used.</t>
  </si>
  <si>
    <t>Grease gun (EP-2 loaded), Rags, Torque wrench</t>
  </si>
  <si>
    <t>Insulated gloves, Hard Hat</t>
  </si>
  <si>
    <t>REC_T04_Bearing_Lube.mp4</t>
  </si>
  <si>
    <t>EP2_Grease_Cartridge.jpg</t>
  </si>
  <si>
    <t>REC-T05</t>
  </si>
  <si>
    <t>Scan Event Log for Warnings</t>
  </si>
  <si>
    <t>Rectifier Event Log Scan</t>
  </si>
  <si>
    <t>Access rectifier management interface. Review event log for last 30 days. Document any over-voltage, under-voltage, overcurrent, or temperature events. Escalate any unresolved faults.</t>
  </si>
  <si>
    <t>Laptop with rectifier diagnostic interface</t>
  </si>
  <si>
    <t>REC_T05_Event_Log.mp4</t>
  </si>
  <si>
    <t>REC_Event_Log.jpg</t>
  </si>
  <si>
    <t xml:space="preserve">  ▶  DG Generator — Annual</t>
  </si>
  <si>
    <t>DGG-T01</t>
  </si>
  <si>
    <t>Check Fuel Level &amp; Inspect for Leaks</t>
  </si>
  <si>
    <t>Fuel Level &amp; Leak Check</t>
  </si>
  <si>
    <t>Inspect fuel tank visual level indicator. Record fuel level in litres. Inspect all fuel lines, connections, and tank base for staining or seepage. Any fuel leak is a safety-critical defect – do not start engine if leak found.</t>
  </si>
  <si>
    <t>Fuel dipstick / level gauge, Torch</t>
  </si>
  <si>
    <t>Coverall, Safety shoes, Gloves</t>
  </si>
  <si>
    <t>DGG_T01_Fuel_Check.mp4</t>
  </si>
  <si>
    <t>DGG_Fuel_System.jpg</t>
  </si>
  <si>
    <t>DGG-T02</t>
  </si>
  <si>
    <t>Verify Engine Oil Level &amp; Colour</t>
  </si>
  <si>
    <t>Engine Oil Level &amp; Condition Check</t>
  </si>
  <si>
    <t>Remove oil dipstick, clean, re-insert, and withdraw. Record oil level: must be between MIN and MAX marks. Observe oil colour: clean (amber) is acceptable; black or milky indicates contamination. Log and change if required.</t>
  </si>
  <si>
    <t>Oil dipstick, Clean rags</t>
  </si>
  <si>
    <t>DGG_T02_Oil_Check.mp4</t>
  </si>
  <si>
    <t>DGG_Oil_Dipstick.jpg</t>
  </si>
  <si>
    <t>DGG-T03</t>
  </si>
  <si>
    <t>Test Governor Frequency Response</t>
  </si>
  <si>
    <t>Governor Frequency Response Test</t>
  </si>
  <si>
    <t>Start DG. Allow 10-min warm-up. Apply 25%, 50%, then 75% rated load in steps. Record frequency at each step. Nominal: 50 Hz ±0.5 Hz. Governor transient recovery time &lt; 3 seconds. Document all readings.</t>
  </si>
  <si>
    <t>Load bank, Frequency meter, Multimeter</t>
  </si>
  <si>
    <t>Coverall, Hearing protection (&gt;85dB), Safety shoes</t>
  </si>
  <si>
    <t>DGG_T03_Governor_Test.mp4</t>
  </si>
  <si>
    <t>DGG_Governor_Unit.jpg</t>
  </si>
  <si>
    <t>DGG-T04</t>
  </si>
  <si>
    <t>Inspect Exhaust System &amp; Clamps</t>
  </si>
  <si>
    <t>Exhaust System Inspection</t>
  </si>
  <si>
    <t>With engine cooled, inspect exhaust manifold, pipes, expansion joints, and muffler for cracks, corrosion, or loose clamps. Tighten all exhaust clamps to specified torque. Note smoke colour during run-up.</t>
  </si>
  <si>
    <t>Torque wrench, Inspection mirror, Torch</t>
  </si>
  <si>
    <t>Coverall, Heat-resistant gloves</t>
  </si>
  <si>
    <t>DGG_T04_Exhaust.mp4</t>
  </si>
  <si>
    <t>DGG_Exhaust_System.jpg</t>
  </si>
  <si>
    <t>DGG-T05</t>
  </si>
  <si>
    <t>Load Test at 75% Rated KVA for 30 min</t>
  </si>
  <si>
    <t>Annual Load Test at 75% Rated KVA</t>
  </si>
  <si>
    <t>Apply load bank set to 75% of rated KVA. Run at steady state for minimum 30 minutes. Record: voltage (V), frequency (Hz), current (A), temperature (°C), and fuel consumption rate. Compare against acceptance baseline.</t>
  </si>
  <si>
    <t>Load bank, Clamp meter, Infra-red thermometer</t>
  </si>
  <si>
    <t>Coverall, Hearing protection, Safety shoes</t>
  </si>
  <si>
    <t>DGG_T05_Load_Test.mp4</t>
  </si>
  <si>
    <t>DGG_Load_Test_Setup.jpg</t>
  </si>
  <si>
    <t>DGG-T06</t>
  </si>
  <si>
    <t>Record Engine Run Hours from Hour Meter</t>
  </si>
  <si>
    <t>Engine Run-Hour Recording</t>
  </si>
  <si>
    <t>Read and record the engine run-hour meter value. Compare against previous record. Calculate hours run since last PM. Confirm oil change and filter replacements are due based on run-hours. Log in PM record.</t>
  </si>
  <si>
    <t>Visual reading</t>
  </si>
  <si>
    <t>Safety shoes</t>
  </si>
  <si>
    <t>DGG_T06_Run_Hours.mp4</t>
  </si>
  <si>
    <t>DGG_Hour_Meter.jpg</t>
  </si>
  <si>
    <t xml:space="preserve">  ▶  Quick Junction Box (QJB) — Quarterly</t>
  </si>
  <si>
    <t>QJB-T01</t>
  </si>
  <si>
    <t>Inspect Junction Busbars for Corrosion</t>
  </si>
  <si>
    <t>Busbar Corrosion Inspection</t>
  </si>
  <si>
    <t>De-energise QJB (Permit to Work mandatory). Remove panel. Inspect all copper busbars for signs of oxidation, discolouration, or pitting. Apply anti-oxidant paste to any corroded surfaces. Photograph findings.</t>
  </si>
  <si>
    <t>Inspection torch, Soft wire brush, Anti-oxidant paste</t>
  </si>
  <si>
    <t>HV rubber gloves (1kV), Face shield, Safety shoes</t>
  </si>
  <si>
    <t>QJB_T01_Busbar_Inspect.mp4</t>
  </si>
  <si>
    <t>QJB_Busbars.jpg</t>
  </si>
  <si>
    <t>QJB-T02</t>
  </si>
  <si>
    <t>Check and Re-torque all Terminal Bolts</t>
  </si>
  <si>
    <t>Terminal Bolt Torque Check</t>
  </si>
  <si>
    <t>Using calibrated torque wrench, re-torque all busbar terminal bolts to manufacturer specification (Nm values in maintenance manual). Mark torqued bolts. Log any stripped or corroded hardware for replacement.</t>
  </si>
  <si>
    <t>Calibrated torque wrench set (Nm), Marker pen</t>
  </si>
  <si>
    <t>HV rubber gloves (1kV), Face shield</t>
  </si>
  <si>
    <t>QJB_T02_Torque.mp4</t>
  </si>
  <si>
    <t>QJB_Terminal_Bolts.jpg</t>
  </si>
  <si>
    <t>QJB-T03</t>
  </si>
  <si>
    <t>Clean Internal Surfaces of Dust/Moisture</t>
  </si>
  <si>
    <t>Internal Cleaning</t>
  </si>
  <si>
    <t>Using dry compressed air and clean rags, remove all dust accumulations from QJB interior, busbars, and insulator surfaces. Check for moisture ingress. Apply silica gel pack if moisture found. Replace door seal if damaged.</t>
  </si>
  <si>
    <t>Compressed air, Dry clean rags, Silica gel</t>
  </si>
  <si>
    <t>HV rubber gloves, Safety glasses</t>
  </si>
  <si>
    <t>QJB_T03_Cleaning.mp4</t>
  </si>
  <si>
    <t>QJB_Interior.jpg</t>
  </si>
  <si>
    <t>QJB-T04</t>
  </si>
  <si>
    <t>Test Overload Trip at 110% Rated Current</t>
  </si>
  <si>
    <t>Overload Trip Test</t>
  </si>
  <si>
    <t>Apply 110% of rated current using test set. Measure and record trip response time. Acceptable: trip within 2 seconds of 110% application. Failed trips indicate protection relay fault – immediate escalation required.</t>
  </si>
  <si>
    <t>Protection relay test set (Omicron / Megger)</t>
  </si>
  <si>
    <t>HV rubber gloves, Face shield</t>
  </si>
  <si>
    <t>QJB_T04_Trip_Test.mp4</t>
  </si>
  <si>
    <t>QJB_Trip_Unit.jpg</t>
  </si>
  <si>
    <t>QJB-T05</t>
  </si>
  <si>
    <t>Measure Insulation Resistance (500V DC)</t>
  </si>
  <si>
    <t>Insulation Resistance Test</t>
  </si>
  <si>
    <t>Using Megger at 500V DC, measure: (a) L1-L2, L2-L3, L3-L1 (line-to-line), (b) L1-E, L2-E, L3-E (line-to-earth). Record all values in MΩ. Minimum acceptable: 100 MΩ. Values below 10 MΩ are critical failures.</t>
  </si>
  <si>
    <t>Megger BM11 (500V DC)</t>
  </si>
  <si>
    <t>QJB_T05_IR_Test.mp4</t>
  </si>
  <si>
    <t>QJB_IR_Test.jpg</t>
  </si>
  <si>
    <t xml:space="preserve">  ▶  IFF Scheduler — Weekly</t>
  </si>
  <si>
    <t>IFF-T01</t>
  </si>
  <si>
    <t>Verify IFF Mode 1/2/3A/C/S Status</t>
  </si>
  <si>
    <t>IFF Mode Status Verification</t>
  </si>
  <si>
    <t>On IFF management console, verify operational status of each IFF mode: Mode 1, Mode 2, Mode 3A, Mode C, Mode S. All should display ACTIVE. Log any INACTIVE or FAULT modes for immediate investigation.</t>
  </si>
  <si>
    <t>IFF management workstation</t>
  </si>
  <si>
    <t>IFF_T01_Mode_Status.mp4</t>
  </si>
  <si>
    <t>IFF_Mode_Display.jpg</t>
  </si>
  <si>
    <t>IFF-T02</t>
  </si>
  <si>
    <t>Check Interrogator RF Power Level</t>
  </si>
  <si>
    <t>RF Power Level Check</t>
  </si>
  <si>
    <t>Using RF power meter, measure interrogator transmit power at antenna port. Compare against nominal value in system specification. Deviation &gt;2 dBm from nominal requires PA module inspection.</t>
  </si>
  <si>
    <t>RF power meter (calibrated), Attenuator</t>
  </si>
  <si>
    <t>RF safety glasses, Anti-static wrist strap</t>
  </si>
  <si>
    <t>IFF_T02_Power_Level.mp4</t>
  </si>
  <si>
    <t>IFF_RF_Power.jpg</t>
  </si>
  <si>
    <t>IFF-T03</t>
  </si>
  <si>
    <t>Test Transponder Reply Rate</t>
  </si>
  <si>
    <t>Transponder Reply Rate Test</t>
  </si>
  <si>
    <t>Send test interrogations using IFF test set. Measure transponder reply rate. Nominal: ≥95% reply efficiency. Log actual percentage. Values below 90% indicate transponder fault or antenna degradation.</t>
  </si>
  <si>
    <t>IFF test set</t>
  </si>
  <si>
    <t>IFF_T03_Reply_Rate.mp4</t>
  </si>
  <si>
    <t>IFF_Test_Set.jpg</t>
  </si>
  <si>
    <t>IFF-T04</t>
  </si>
  <si>
    <t>Inspect Antenna RF Connectors</t>
  </si>
  <si>
    <t>RF Connector Inspection</t>
  </si>
  <si>
    <t>Inspect all SMA/N-type connectors on IFF antenna feed. Look for corrosion, cracked dielectric, bent pins, or moisture. Apply RF connector lubricant sparingly. Replace any damaged connectors.</t>
  </si>
  <si>
    <t>Connector inspection tool, RF connector lubricant</t>
  </si>
  <si>
    <t>Anti-static wrist strap, RF safety glasses</t>
  </si>
  <si>
    <t>IFF_T04_Connectors.mp4</t>
  </si>
  <si>
    <t>IFF_RF_Connectors.jpg</t>
  </si>
  <si>
    <t>IFF-T05</t>
  </si>
  <si>
    <t>Log SIF/Mode C Operational Status</t>
  </si>
  <si>
    <t>SIF and Mode C Status Log</t>
  </si>
  <si>
    <t>Record current SIF and Mode C operational status in PM log. Note any transponder code deviations from assigned codes. Cross-check with ATC coordination log if applicable. Escalate any code discrepancies.</t>
  </si>
  <si>
    <t>IFF management console, PM log</t>
  </si>
  <si>
    <t>IFF_T05_SIF_Log.mp4</t>
  </si>
  <si>
    <t>IFF_SIF_Display.jpg</t>
  </si>
  <si>
    <t xml:space="preserve">  ▶  Signal Timing Module (STM) — Quarterly</t>
  </si>
  <si>
    <t>STM-T01</t>
  </si>
  <si>
    <t>Verify PPS Lock Status</t>
  </si>
  <si>
    <t>1PPS Clock Lock Verification</t>
  </si>
  <si>
    <t>On STM diagnostic display, verify 1PPS (pulse per second) lock indicator is GREEN/LOCKED. If using GPS source, confirm GPS receiver has valid fix with ≥4 satellites. Log lock source and satellite count.</t>
  </si>
  <si>
    <t>STM diagnostic workstation</t>
  </si>
  <si>
    <t>STM_T01_PPS_Lock.mp4</t>
  </si>
  <si>
    <t>STM_PPS_Display.jpg</t>
  </si>
  <si>
    <t>STM-T02</t>
  </si>
  <si>
    <t>Measure Sync Pulse Width</t>
  </si>
  <si>
    <t>Sync Pulse Width Measurement</t>
  </si>
  <si>
    <t>Connect oscilloscope to STM sync output test point. Measure pulse width of timing pulse. Compare to specification value. Deviation &gt;±5ns from nominal requires recalibration. Record exact measurement.</t>
  </si>
  <si>
    <t>Oscilloscope (100 MHz minimum), BNC probe</t>
  </si>
  <si>
    <t>STM_T02_Pulse_Width.mp4</t>
  </si>
  <si>
    <t>STM_Oscilloscope.jpg</t>
  </si>
  <si>
    <t>STM-T03</t>
  </si>
  <si>
    <t>Inspect PCB for Hot Spots</t>
  </si>
  <si>
    <t>PCB Thermal Inspection</t>
  </si>
  <si>
    <t>Using infra-red thermometer or thermal camera, scan STM PCB for thermal hotspots. No component should exceed 85°C. Particular attention to voltage regulators and clock oscillators. Log peak temperatures.</t>
  </si>
  <si>
    <t>Infra-red thermometer / thermal camera</t>
  </si>
  <si>
    <t>STM_T03_Thermal.mp4</t>
  </si>
  <si>
    <t>STM_PCB_Thermal.jpg</t>
  </si>
  <si>
    <t>STM-T04</t>
  </si>
  <si>
    <t>Test Timing Deviation &amp; Log</t>
  </si>
  <si>
    <t>Timing Deviation Measurement</t>
  </si>
  <si>
    <t>Using frequency counter referenced to GPS, measure STM output frequency deviation from nominal. Acceptable: ±5 ns. Record deviation value. Values exceeding limits require oscillator replacement.</t>
  </si>
  <si>
    <t>Frequency counter (GPS-disciplined), BNC cables</t>
  </si>
  <si>
    <t>STM_T04_Timing_Dev.mp4</t>
  </si>
  <si>
    <t>STM_Freq_Counter.jpg</t>
  </si>
  <si>
    <t xml:space="preserve">  ▶  Master Control Unit (MCU) — Annual</t>
  </si>
  <si>
    <t>MCU-T01</t>
  </si>
  <si>
    <t>Execute Full BIT Sequence</t>
  </si>
  <si>
    <t>Built-In-Test (BIT) Execution</t>
  </si>
  <si>
    <t>Launch MCU diagnostic interface. Select 'Full System BIT'. Allow test to complete (approx. 20 min). Record all PASS/FAIL results per test item. Any FAIL item requires investigation before PM can be marked complete.</t>
  </si>
  <si>
    <t>MCU diagnostic workstation, BIT test set</t>
  </si>
  <si>
    <t>MCU_T01_BIT.mp4</t>
  </si>
  <si>
    <t>MCU_BIT_Screen.jpg</t>
  </si>
  <si>
    <t>MCU-T02</t>
  </si>
  <si>
    <t>Replace Backup Battery</t>
  </si>
  <si>
    <t>MCU Backup Battery Replacement</t>
  </si>
  <si>
    <t>Power down MCU following SOP. Locate RTC backup battery (CR2032 or equivalent). Replace with new battery of same specification. Verify date/time retained after power-up. Log install date of new battery.</t>
  </si>
  <si>
    <t>CR2032 battery, Anti-static mat</t>
  </si>
  <si>
    <t>MCU_T02_Battery.mp4</t>
  </si>
  <si>
    <t>MCU_Battery_Location.jpg</t>
  </si>
  <si>
    <t>SYS-FLS-001</t>
  </si>
  <si>
    <t>MCU-T03</t>
  </si>
  <si>
    <t>Check HDD/SSD Health</t>
  </si>
  <si>
    <t>Storage Drive Health Check</t>
  </si>
  <si>
    <t>Run S.M.A.R.T. diagnostic tool on all storage drives. Record health percentage. Drives below 80% health must be scheduled for replacement within 30 days. Check available space: minimum 20% free required.</t>
  </si>
  <si>
    <t>SMART diagnostic software (CrystalDiskInfo or equivalent)</t>
  </si>
  <si>
    <t>MCU_T03_HDD_Health.mp4</t>
  </si>
  <si>
    <t>MCU_Storage_Smart.jpg</t>
  </si>
  <si>
    <t>MCU-T04</t>
  </si>
  <si>
    <t>Verify Software &amp; Firmware Versions</t>
  </si>
  <si>
    <t>Software Version Verification</t>
  </si>
  <si>
    <t>Record OS version, application software version, and firmware version strings. Compare against approved baseline in configuration register. Any unauthorised version changes must be reported as a security incident.</t>
  </si>
  <si>
    <t>MCU management console, Configuration register</t>
  </si>
  <si>
    <t>MCU_T04_Versions.mp4</t>
  </si>
  <si>
    <t>MCU_Version_Screen.jpg</t>
  </si>
  <si>
    <t>MCU-T05</t>
  </si>
  <si>
    <t>Test Watchdog Timer</t>
  </si>
  <si>
    <t>Watchdog Timer Test</t>
  </si>
  <si>
    <t>Using MCU diagnostic mode, simulate application hang to trigger watchdog reset. Verify MCU reboots within specified watchdog timeout (typically 30 seconds). Log watchdog timeout setting and test result.</t>
  </si>
  <si>
    <t>MCU diagnostic interface</t>
  </si>
  <si>
    <t>MCU_T05_Watchdog.mp4</t>
  </si>
  <si>
    <t>MCU_WDT_Test.jpg</t>
  </si>
  <si>
    <t>MCU-T06</t>
  </si>
  <si>
    <t>Backup All Configuration Files</t>
  </si>
  <si>
    <t>Configuration Backup</t>
  </si>
  <si>
    <t>Using USB backup drive or network path, copy all configuration files: radar parameters, maintenance schedules, user database, calibration data. Verify backup integrity with checksum. Label backup with date and version.</t>
  </si>
  <si>
    <t>USB backup drive (encrypted) or network share</t>
  </si>
  <si>
    <t>MCU_T06_Backup.mp4</t>
  </si>
  <si>
    <t>MCU_Config_Backup.jpg</t>
  </si>
  <si>
    <t xml:space="preserve">  ▶  Digital Beam Forming (DBF) — Quarterly</t>
  </si>
  <si>
    <t>DBF-T01</t>
  </si>
  <si>
    <t>Verify Beam Forming Weight File Load</t>
  </si>
  <si>
    <t>Beam Weight File Verification</t>
  </si>
  <si>
    <t>On DBF management console, verify beam forming coefficient file has loaded correctly. Check file version matches approved baseline. Any load error requires re-upload from configuration management server.</t>
  </si>
  <si>
    <t>DBF management workstation</t>
  </si>
  <si>
    <t>DBF_T01_Weights.mp4</t>
  </si>
  <si>
    <t>DBF_Weight_Console.jpg</t>
  </si>
  <si>
    <t>DBF-T02</t>
  </si>
  <si>
    <t>Measure Antenna Null Depth</t>
  </si>
  <si>
    <t>Null Depth Measurement</t>
  </si>
  <si>
    <t>Using signal analyser and test antenna, measure antenna pattern null depth. Compare against design specification. Degraded null depth indicates beam weight corruption or FPGA fault. Record in dB.</t>
  </si>
  <si>
    <t>Signal analyser, Calibrated test antenna</t>
  </si>
  <si>
    <t>DBF_T02_Null_Depth.mp4</t>
  </si>
  <si>
    <t>DBF_Null_Measure.jpg</t>
  </si>
  <si>
    <t>DBF-T03</t>
  </si>
  <si>
    <t>Check FPGA Die Temperature</t>
  </si>
  <si>
    <t>FPGA Thermal Check</t>
  </si>
  <si>
    <t>Read FPGA die temperature from DBF health monitoring interface. Nominal operating range: 40–75°C. Values above 85°C indicate cooling failure. Log temperature. Check FPGA fan and heat-sink contact.</t>
  </si>
  <si>
    <t>DBF health monitoring interface</t>
  </si>
  <si>
    <t>DBF_T03_FPGA_Temp.mp4</t>
  </si>
  <si>
    <t>DBF_FPGA_Thermal.jpg</t>
  </si>
  <si>
    <t>DBF-T04</t>
  </si>
  <si>
    <t>Inspect RF Connectors</t>
  </si>
  <si>
    <t>Inspect all RF connectors on DBF input/output ports. Check for corrosion, damage, or loose connections. Apply RF connector lubricant to SMA connectors. Torque to specification using torque wrench.</t>
  </si>
  <si>
    <t>RF connector lubricant, Torque wrench (SMA)</t>
  </si>
  <si>
    <t>DBF_T04_RF_Conn.mp4</t>
  </si>
  <si>
    <t>DBF_RF_Connectors.jpg</t>
  </si>
  <si>
    <t xml:space="preserve">  ▶  Dual T/R Module (DTRM) — Monthly</t>
  </si>
  <si>
    <t>DTRM-T01</t>
  </si>
  <si>
    <t>Check Receiver Noise Figure</t>
  </si>
  <si>
    <t>Noise Figure Measurement</t>
  </si>
  <si>
    <t>Using noise figure analyser, measure RX noise figure at DTRM input port across operating bandwidth. Compare against specification. Degradation &gt;1 dB above spec requires LNA inspection. Record measurement.</t>
  </si>
  <si>
    <t>Noise figure analyser (Keysight N8975A or equivalent), Calibrated noise source</t>
  </si>
  <si>
    <t>DTRM_T01_NF.mp4</t>
  </si>
  <si>
    <t>DTRM_NF_Setup.jpg</t>
  </si>
  <si>
    <t>DTRM-T02</t>
  </si>
  <si>
    <t>Verify T/R Module Bias Voltages</t>
  </si>
  <si>
    <t>T/R Bias Voltage Check</t>
  </si>
  <si>
    <t>Using multimeter, measure T/R module gate, drain, and source bias voltages at test points. Compare to values in DTRM specification sheet. Out-of-spec voltages indicate bias circuit fault.</t>
  </si>
  <si>
    <t>Digital multimeter, DTRM specification sheet</t>
  </si>
  <si>
    <t>DTRM_T02_Bias.mp4</t>
  </si>
  <si>
    <t>DTRM_Test_Points.jpg</t>
  </si>
  <si>
    <t>DTRM-T03</t>
  </si>
  <si>
    <t>Inspect Waveguide Joints</t>
  </si>
  <si>
    <t>Waveguide Joint Inspection</t>
  </si>
  <si>
    <t>Visually inspect all waveguide flanges and joints for alignment, gasket condition, and signs of RF leakage (RF detector to be used if available). Re-torque flange bolts to specification. Replace any damaged gaskets.</t>
  </si>
  <si>
    <t>Torque wrench, RF leakage detector (optional), Waveguide gaskets</t>
  </si>
  <si>
    <t>RF safety glasses</t>
  </si>
  <si>
    <t>DTRM_T03_Waveguide.mp4</t>
  </si>
  <si>
    <t>DTRM_Waveguide.jpg</t>
  </si>
  <si>
    <t>DTRM-T04</t>
  </si>
  <si>
    <t>Measure Gain Flatness Across Bandwidth</t>
  </si>
  <si>
    <t>Gain Flatness Check</t>
  </si>
  <si>
    <t>Using vector network analyser or signal analyser, measure gain flatness across DTRM operating bandwidth. Acceptable: ±2 dB. Peaks or dips outside this range indicate filter or amplifier degradation.</t>
  </si>
  <si>
    <t>VNA or signal analyser, Calibrated RF cables</t>
  </si>
  <si>
    <t>DTRM_T04_Gain.mp4</t>
  </si>
  <si>
    <t>DTRM_Gain_Plot.jpg</t>
  </si>
  <si>
    <t>DTRM-T05</t>
  </si>
  <si>
    <t>Check DTRM BIT Status</t>
  </si>
  <si>
    <t>DTRM Built-In-Test</t>
  </si>
  <si>
    <t>Via DTRM diagnostic interface, execute built-in-test (BIT). Verify all test items return PASS. Log any FAIL items with fault code. BIT failure must be investigated and resolved before marking PM complete.</t>
  </si>
  <si>
    <t>DTRM diagnostic interface</t>
  </si>
  <si>
    <t>DTRM_T05_BIT.mp4</t>
  </si>
  <si>
    <t>DTRM_BIT_Screen.jpg</t>
  </si>
  <si>
    <t xml:space="preserve">  ▶  Digital Receiver Module (DRM) — Quarterly</t>
  </si>
  <si>
    <t>DRM-T01</t>
  </si>
  <si>
    <t>Measure ADC Dynamic Range</t>
  </si>
  <si>
    <t>ADC Dynamic Range Measurement</t>
  </si>
  <si>
    <t>Using calibrated signal source, inject test signal at DRM input. Measure ADC dynamic range using spectrum analyser. Compare SFDR and SNR against specification. Degraded performance indicates ADC component failure.</t>
  </si>
  <si>
    <t>Signal generator, Spectrum analyser</t>
  </si>
  <si>
    <t>DRM_T01_ADC.mp4</t>
  </si>
  <si>
    <t>DRM_ADC_Test.jpg</t>
  </si>
  <si>
    <t>DRM-T02</t>
  </si>
  <si>
    <t>Check I/Q Channel Balance</t>
  </si>
  <si>
    <t>I/Q Channel Balance Measurement</t>
  </si>
  <si>
    <t>Inject single-tone test signal. Measure I/Q amplitude imbalance and phase imbalance using VNA. Amplitude balance: ±1 dB; Phase balance: ±1°. Imbalance outside spec causes image rejection degradation.</t>
  </si>
  <si>
    <t>VNA, Calibrated signal source</t>
  </si>
  <si>
    <t>DRM_T02_IQ.mp4</t>
  </si>
  <si>
    <t>DRM_IQ_Balance.jpg</t>
  </si>
  <si>
    <t>DRM-T03</t>
  </si>
  <si>
    <t>Run DRM BIT</t>
  </si>
  <si>
    <t>DRM Built-In-Test</t>
  </si>
  <si>
    <t>Execute DRM full BIT sequence from diagnostic interface. Record all test item results. Verify digital filter coefficient version matches configuration baseline. Log pass/fail counts.</t>
  </si>
  <si>
    <t>DRM diagnostic workstation</t>
  </si>
  <si>
    <t>DRM_T03_BIT.mp4</t>
  </si>
  <si>
    <t>DRM_BIT_Screen.jpg</t>
  </si>
  <si>
    <t>DRM-T04</t>
  </si>
  <si>
    <t>Inspect PCB for Hot Spots &amp; Damage</t>
  </si>
  <si>
    <t>PCB Visual &amp; Thermal Inspection</t>
  </si>
  <si>
    <t>Remove DRM unit from rack. Inspect PCB visually for burnt components, lifted pads, or swollen capacitors. Use IR thermometer to check FPGA and regulator temperatures. Log any findings.</t>
  </si>
  <si>
    <t>IR thermometer, Visual inspection</t>
  </si>
  <si>
    <t>DRM_T04_PCB.mp4</t>
  </si>
  <si>
    <t>DRM_PCB_View.jpg</t>
  </si>
  <si>
    <t xml:space="preserve">  ▶  North Finding System (NFS) — Quarterly</t>
  </si>
  <si>
    <t>NFS-T01</t>
  </si>
  <si>
    <t>Run Gyro Self-Test Sequence</t>
  </si>
  <si>
    <t>Gyro Self-Test</t>
  </si>
  <si>
    <t>Power up NFS. Execute built-in gyro self-test from NFS control panel. All self-test items must return PASS. FAIL items indicate gyro bearing wear, thermal drift, or electronics fault. Log test report.</t>
  </si>
  <si>
    <t>NFS control console</t>
  </si>
  <si>
    <t>Safety shoes, Anti-static wrist strap</t>
  </si>
  <si>
    <t>NFS_T01_Self_Test.mp4</t>
  </si>
  <si>
    <t>NFS_Gyro_Console.jpg</t>
  </si>
  <si>
    <t>NFS-T02</t>
  </si>
  <si>
    <t>Verify Mechanical Levelling (≤0.1°)</t>
  </si>
  <si>
    <t>Mechanical Level Check</t>
  </si>
  <si>
    <t>Using precision spirit level or electronic level gauge, measure NFS platform levelness in both X and Y axes. Acceptable: ±0.1°. Adjust levelling feet if outside tolerance. Re-verify after adjustment.</t>
  </si>
  <si>
    <t>Electronic level gauge (0.01° resolution)</t>
  </si>
  <si>
    <t>NFS_T02_Level.mp4</t>
  </si>
  <si>
    <t>NFS_Level_Gauge.jpg</t>
  </si>
  <si>
    <t>NFS-T03</t>
  </si>
  <si>
    <t>Verify Azimuth Reference Output</t>
  </si>
  <si>
    <t>Azimuth Output Verification</t>
  </si>
  <si>
    <t>Cross-check NFS azimuth output against known survey reference marker (azimuth value in site survey document). Acceptable deviation: ±0.1°. Deviation outside tolerance requires gyro recalibration procedure.</t>
  </si>
  <si>
    <t>Survey theodolite or known reference azimuth</t>
  </si>
  <si>
    <t>NFS_T03_Azimuth.mp4</t>
  </si>
  <si>
    <t>NFS_Azimuth_Check.jpg</t>
  </si>
  <si>
    <t>NFS-T04</t>
  </si>
  <si>
    <t>Test Drift Correction Function</t>
  </si>
  <si>
    <t>Drift Correction Test</t>
  </si>
  <si>
    <t>Disable drift correction and monitor azimuth drift for 5 minutes. Re-enable drift correction. Verify correction engages and returns azimuth to reference within specified time. Log drift rate in °/hour.</t>
  </si>
  <si>
    <t>NFS diagnostic interface, Stopwatch</t>
  </si>
  <si>
    <t>NFS_T04_Drift.mp4</t>
  </si>
  <si>
    <t>NFS_Drift_Test.jpg</t>
  </si>
  <si>
    <t>SYSTEM INVENTORY MONITOR — CONSUMABLES</t>
  </si>
  <si>
    <t>Drives: System Inventory Monitor Panel (Header Bar) · Inventory Tab  |  SyRS: SYS-INV-001 to SYS-INV-004  |  Interface: INF-01</t>
  </si>
  <si>
    <t>Item_ID</t>
  </si>
  <si>
    <t>Consumable_Item_Name</t>
  </si>
  <si>
    <t>Associated_Subsystems</t>
  </si>
  <si>
    <t>Unit_of_Measure</t>
  </si>
  <si>
    <t>Current_Qty</t>
  </si>
  <si>
    <t>Alert_Threshold</t>
  </si>
  <si>
    <t>Status</t>
  </si>
  <si>
    <t>Last_Replenished</t>
  </si>
  <si>
    <t>Supplier_Ref</t>
  </si>
  <si>
    <t>Storage_Location</t>
  </si>
  <si>
    <t>C-001</t>
  </si>
  <si>
    <t>LCU Coolant (Low-Cond)</t>
  </si>
  <si>
    <t>L</t>
  </si>
  <si>
    <t>Adequate</t>
  </si>
  <si>
    <t>2026-05-01</t>
  </si>
  <si>
    <t>COOL-LCU-LC</t>
  </si>
  <si>
    <t>Store A-Shelf 2</t>
  </si>
  <si>
    <t>SYS-INV-003</t>
  </si>
  <si>
    <t>De-ionised low-conductivity; check conductivity &lt;10 µS/cm</t>
  </si>
  <si>
    <t>C-002</t>
  </si>
  <si>
    <t>DI Filter (LCU)</t>
  </si>
  <si>
    <t>pcs</t>
  </si>
  <si>
    <t>2026-03-15</t>
  </si>
  <si>
    <t>FILT-DI-001</t>
  </si>
  <si>
    <t>Store A-Shelf 3</t>
  </si>
  <si>
    <t>Replace every 6 months regardless of condition</t>
  </si>
  <si>
    <t>C-003</t>
  </si>
  <si>
    <t>Misron Filter (LCU)</t>
  </si>
  <si>
    <t>FILT-MSR-01</t>
  </si>
  <si>
    <t>Inspect for discolouration – replace if brown/black</t>
  </si>
  <si>
    <t>C-004</t>
  </si>
  <si>
    <t>O-Rings (LCU)</t>
  </si>
  <si>
    <t>2026-04-10</t>
  </si>
  <si>
    <t>ORING-LCU-A</t>
  </si>
  <si>
    <t>Store B-Bin 12</t>
  </si>
  <si>
    <t>BS1806 standard; keep in sealed bag away from UV</t>
  </si>
  <si>
    <t>C-005</t>
  </si>
  <si>
    <t>Lube Oil 15W-40 (DC)</t>
  </si>
  <si>
    <t>Low Stock</t>
  </si>
  <si>
    <t>2026-01-20</t>
  </si>
  <si>
    <t>OIL-15W40-DC</t>
  </si>
  <si>
    <t>Store A-Shelf 1</t>
  </si>
  <si>
    <t>⚠ LOW STOCK – Order required; API SL specification</t>
  </si>
  <si>
    <t>C-006</t>
  </si>
  <si>
    <t>Lub Filter (FGJ)</t>
  </si>
  <si>
    <t>FILT-FGJ-01</t>
  </si>
  <si>
    <t>Store A-Shelf 4</t>
  </si>
  <si>
    <t>⚠ LOW STOCK – Part no. FGJ-1042; order 5 units</t>
  </si>
  <si>
    <t>C-007</t>
  </si>
  <si>
    <t>Oil Filter (OU)</t>
  </si>
  <si>
    <t>2026-04-01</t>
  </si>
  <si>
    <t>FILT-OU-001</t>
  </si>
  <si>
    <t>Cross-reference: OU-Filter FRAM PH3506</t>
  </si>
  <si>
    <t>C-008</t>
  </si>
  <si>
    <t>Air Filter (CU)</t>
  </si>
  <si>
    <t>FILT-AIR-CU</t>
  </si>
  <si>
    <t>Store B-Shelf 1</t>
  </si>
  <si>
    <t>Baldwin B1438 equivalent; replace every 250 run-hrs</t>
  </si>
  <si>
    <t>C-009</t>
  </si>
  <si>
    <t>Ionizer Media</t>
  </si>
  <si>
    <t>2026-03-01</t>
  </si>
  <si>
    <t>ION-MEDIA-01</t>
  </si>
  <si>
    <t>Store C-Bin 4</t>
  </si>
  <si>
    <t>Ionex or equivalent; regenerate or replace per spec</t>
  </si>
  <si>
    <t>C-010</t>
  </si>
  <si>
    <t>Glycol (DG Coolant)</t>
  </si>
  <si>
    <t>GLYCOL-EG-50</t>
  </si>
  <si>
    <t>50/50 ethylene glycol-water pre-mix; ASTM D3306</t>
  </si>
  <si>
    <t>C-011</t>
  </si>
  <si>
    <t>DM Water</t>
  </si>
  <si>
    <t>LCU/DG</t>
  </si>
  <si>
    <t>DM-WATER-001</t>
  </si>
  <si>
    <t>Store A-Tank 1</t>
  </si>
  <si>
    <t>Resistivity &gt;1 MΩ·cm; test before use</t>
  </si>
  <si>
    <t>C-012</t>
  </si>
  <si>
    <t>Bearing Grease EP-2</t>
  </si>
  <si>
    <t>cartridge</t>
  </si>
  <si>
    <t>2026-04-20</t>
  </si>
  <si>
    <t>GREASE-EP2-A</t>
  </si>
  <si>
    <t>Store B-Bin 8</t>
  </si>
  <si>
    <t>NLGI Grade 2; apply 2-3 shots per bearing per PM</t>
  </si>
  <si>
    <t>C-013</t>
  </si>
  <si>
    <t>Contact Cleaner Spray</t>
  </si>
  <si>
    <t>can</t>
  </si>
  <si>
    <t>2026-03-10</t>
  </si>
  <si>
    <t>CCS-MG-001</t>
  </si>
  <si>
    <t>Store B-Bin 5</t>
  </si>
  <si>
    <t>MG Chemicals 409B or equivalent; non-conductive</t>
  </si>
  <si>
    <t>C-014</t>
  </si>
  <si>
    <t>Anti-Oxidant Paste</t>
  </si>
  <si>
    <t>g</t>
  </si>
  <si>
    <t>AOPASTE-001</t>
  </si>
  <si>
    <t>Store B-Bin 6</t>
  </si>
  <si>
    <t>Apply thin layer to busbar contact surfaces only</t>
  </si>
  <si>
    <t>C-015</t>
  </si>
  <si>
    <t>RF Connector Lubricant</t>
  </si>
  <si>
    <t>IFF/DBF/DTRM</t>
  </si>
  <si>
    <t>ml</t>
  </si>
  <si>
    <t>2026-02-15</t>
  </si>
  <si>
    <t>RF-CONN-LUB</t>
  </si>
  <si>
    <t>Store C-Bin 2</t>
  </si>
  <si>
    <t>Nyogel 760G or equivalent; SMA and N-type connectors</t>
  </si>
  <si>
    <t>C-016</t>
  </si>
  <si>
    <t>Thermal Paste</t>
  </si>
  <si>
    <t>MCU/DBF/DRM</t>
  </si>
  <si>
    <t>THPASTE-001</t>
  </si>
  <si>
    <t>Store C-Bin 3</t>
  </si>
  <si>
    <t>Arctic Silver 5 or equivalent; &lt;0.1mm application</t>
  </si>
  <si>
    <t>C-017</t>
  </si>
  <si>
    <t>Backup Battery CR2032</t>
  </si>
  <si>
    <t>2026-01-10</t>
  </si>
  <si>
    <t>BATT-CR2032</t>
  </si>
  <si>
    <t>Store C-Bin 7</t>
  </si>
  <si>
    <t>Renata or Panasonic only; check expiry date before use</t>
  </si>
  <si>
    <t>C-018</t>
  </si>
  <si>
    <t>Waveguide Sealant</t>
  </si>
  <si>
    <t>2026-02-01</t>
  </si>
  <si>
    <t>WG-SEAL-001</t>
  </si>
  <si>
    <t>Store C-Bin 1</t>
  </si>
  <si>
    <t>Dow Corning DC-4 compound; apply to flange face only</t>
  </si>
  <si>
    <t>C-019</t>
  </si>
  <si>
    <t>Gyro Bearing Grease</t>
  </si>
  <si>
    <t>2026-02-20</t>
  </si>
  <si>
    <t>GYRO-GRS-01</t>
  </si>
  <si>
    <t>Store C-Bin 5</t>
  </si>
  <si>
    <t>OEM-specified grade only; do not substitute</t>
  </si>
  <si>
    <t>C-020</t>
  </si>
  <si>
    <t>Cable Ties (Assorted)</t>
  </si>
  <si>
    <t>All</t>
  </si>
  <si>
    <t>CTIE-AST-01</t>
  </si>
  <si>
    <t>Store D-Bin 1</t>
  </si>
  <si>
    <t>Nylon 66; UV stabilised for external use</t>
  </si>
  <si>
    <t>TOTAL ITEMS MONITORED →</t>
  </si>
  <si>
    <t>← Low Stock Count</t>
  </si>
  <si>
    <t>FIXED LIFE SPAN SPARES MONITOR</t>
  </si>
  <si>
    <t>Drives: Inventory Tab → Fixed Life Span Spares Section · Alert Pop-ups  |  SyRS: SYS-FLS-001, SYS-FLS-002, SYS-INV-005, SYS-INV-006</t>
  </si>
  <si>
    <t>Spare_ID</t>
  </si>
  <si>
    <t>Spare_Item_Name</t>
  </si>
  <si>
    <t>Total_Life_Months</t>
  </si>
  <si>
    <t>Install_Date</t>
  </si>
  <si>
    <t>Replace_By_Date</t>
  </si>
  <si>
    <t>Months_Remaining</t>
  </si>
  <si>
    <t>Alert_Level</t>
  </si>
  <si>
    <t>Supplier_Part_No</t>
  </si>
  <si>
    <t>Replacement_Action</t>
  </si>
  <si>
    <t>S-001</t>
  </si>
  <si>
    <t>LCU Fan Assembly</t>
  </si>
  <si>
    <t>2024-01-15</t>
  </si>
  <si>
    <t>2026-01-15</t>
  </si>
  <si>
    <t>OK</t>
  </si>
  <si>
    <t>FAN-LCU-A01</t>
  </si>
  <si>
    <t>Store A-2</t>
  </si>
  <si>
    <t>Order replacement; schedule swap next PM window</t>
  </si>
  <si>
    <t>S-002</t>
  </si>
  <si>
    <t>LCU Capacitor Bank</t>
  </si>
  <si>
    <t>2023-03-10</t>
  </si>
  <si>
    <t>CAP-LCU-B01</t>
  </si>
  <si>
    <t>Electrolytic capacitor bank; monitor for bulging</t>
  </si>
  <si>
    <t>S-003</t>
  </si>
  <si>
    <t>LCU DC Fuse Block</t>
  </si>
  <si>
    <t>2022-06-01</t>
  </si>
  <si>
    <t>2026-06-01</t>
  </si>
  <si>
    <t>⚠ WARNING</t>
  </si>
  <si>
    <t>FUSE-DC-001</t>
  </si>
  <si>
    <t>Store A-3</t>
  </si>
  <si>
    <t>SYS-FLS-002</t>
  </si>
  <si>
    <t>1 month remaining – order and schedule NOW</t>
  </si>
  <si>
    <t>S-004</t>
  </si>
  <si>
    <t>Rectifier Diode Module</t>
  </si>
  <si>
    <t>2023-03-15</t>
  </si>
  <si>
    <t>DIODE-REC-01</t>
  </si>
  <si>
    <t>Store A-4</t>
  </si>
  <si>
    <t>Vishay VS-26MT160 or equivalent</t>
  </si>
  <si>
    <t>S-005</t>
  </si>
  <si>
    <t>Rectifier Fan Motor</t>
  </si>
  <si>
    <t>2024-11-10</t>
  </si>
  <si>
    <t>2026-11-10</t>
  </si>
  <si>
    <t>FAN-REC-M01</t>
  </si>
  <si>
    <t>Ebm-papst 4800 series or OEM equivalent</t>
  </si>
  <si>
    <t>S-006</t>
  </si>
  <si>
    <t>DG Battery (Lead-Acid)</t>
  </si>
  <si>
    <t>2024-06-01</t>
  </si>
  <si>
    <t>2025-12-01</t>
  </si>
  <si>
    <t>🔴 EXPIRED</t>
  </si>
  <si>
    <t>BATT-DG-12V</t>
  </si>
  <si>
    <t>Store B-1</t>
  </si>
  <si>
    <t>⚠ LIFE EXPIRED – Replace immediately before next DG run</t>
  </si>
  <si>
    <t>S-007</t>
  </si>
  <si>
    <t>DG Fuel Filter</t>
  </si>
  <si>
    <t>2025-06-01</t>
  </si>
  <si>
    <t>FILT-FUEL-A</t>
  </si>
  <si>
    <t>Replacement overdue – do not run DG without change</t>
  </si>
  <si>
    <t>S-008</t>
  </si>
  <si>
    <t>DG Air Filter Element</t>
  </si>
  <si>
    <t>2026-09-01</t>
  </si>
  <si>
    <t>FILT-AIR-A1</t>
  </si>
  <si>
    <t>Store B-2</t>
  </si>
  <si>
    <t>Baldwin B1438; 250 run-hr or 6-month whichever sooner</t>
  </si>
  <si>
    <t>S-009</t>
  </si>
  <si>
    <t>DG Drive Belt</t>
  </si>
  <si>
    <t>2024-02-01</t>
  </si>
  <si>
    <t>BELT-DG-001</t>
  </si>
  <si>
    <t>Store B-3</t>
  </si>
  <si>
    <t>⚠ LIFE EXPIRED – Replace before next annual PM</t>
  </si>
  <si>
    <t>S-010</t>
  </si>
  <si>
    <t>QJB Busbar Insulator Block</t>
  </si>
  <si>
    <t>2022-04-01</t>
  </si>
  <si>
    <t>INSUL-QJB-A</t>
  </si>
  <si>
    <t>Store B-4</t>
  </si>
  <si>
    <t>⚠ EXPIRED – Critical safety item; immediate replacement</t>
  </si>
  <si>
    <t>S-011</t>
  </si>
  <si>
    <t>QJB Overload Trip Unit</t>
  </si>
  <si>
    <t>2021-01-01</t>
  </si>
  <si>
    <t>2026-01-01</t>
  </si>
  <si>
    <t>TRIP-QJB-01</t>
  </si>
  <si>
    <t>⚠ EXPIRED – Request immediate replacement from stores</t>
  </si>
  <si>
    <t>S-012</t>
  </si>
  <si>
    <t>IFF Attenuator Pad</t>
  </si>
  <si>
    <t>2024-11-01</t>
  </si>
  <si>
    <t>2027-05-01</t>
  </si>
  <si>
    <t>ATT-IFF-6DB</t>
  </si>
  <si>
    <t>Store C-1</t>
  </si>
  <si>
    <t>Mini-Circuits VAT-6+ or equivalent</t>
  </si>
  <si>
    <t>S-013</t>
  </si>
  <si>
    <t>IFF PA Module</t>
  </si>
  <si>
    <t>2022-02-01</t>
  </si>
  <si>
    <t>PA-IFF-001</t>
  </si>
  <si>
    <t>⚠ EXPIRED – Critical RF component; schedule replacement</t>
  </si>
  <si>
    <t>S-014</t>
  </si>
  <si>
    <t>STM Clock/Oscillator Module</t>
  </si>
  <si>
    <t>2022-01-01</t>
  </si>
  <si>
    <t>2027-01-01</t>
  </si>
  <si>
    <t>OSC-STM-10M</t>
  </si>
  <si>
    <t>Store C-2</t>
  </si>
  <si>
    <t>OCXO 10 MHz; re-calibrate at replacement</t>
  </si>
  <si>
    <t>S-015</t>
  </si>
  <si>
    <t>MCU Backup Battery</t>
  </si>
  <si>
    <t>2023-05-01</t>
  </si>
  <si>
    <t>2025-05-01</t>
  </si>
  <si>
    <t>Store C-3</t>
  </si>
  <si>
    <t>⚠ EXPIRED – Replace CR2032; verify date/time after</t>
  </si>
  <si>
    <t>S-016</t>
  </si>
  <si>
    <t>DBF FPGA Module</t>
  </si>
  <si>
    <t>2028-02-01</t>
  </si>
  <si>
    <t>FPGA-DBF-X1</t>
  </si>
  <si>
    <t>Store C-4</t>
  </si>
  <si>
    <t>Xilinx Kintex-7 XC7K325T; ESD-sensitive</t>
  </si>
  <si>
    <t>S-017</t>
  </si>
  <si>
    <t>T/R Module (DTRM)</t>
  </si>
  <si>
    <t>2023-08-01</t>
  </si>
  <si>
    <t>2026-08-01</t>
  </si>
  <si>
    <t>TRM-DTRM-01</t>
  </si>
  <si>
    <t>Store C-5</t>
  </si>
  <si>
    <t>OEM part; check MTBF log at replacement</t>
  </si>
  <si>
    <t>S-018</t>
  </si>
  <si>
    <t>Gyro Bearing (NFS)</t>
  </si>
  <si>
    <t>2024-04-01</t>
  </si>
  <si>
    <t>BEAR-NFS-01</t>
  </si>
  <si>
    <t>Store C-6</t>
  </si>
  <si>
    <t>2 months remaining – order and schedule replacement NOW</t>
  </si>
  <si>
    <t>ALERT SUMMARY →</t>
  </si>
  <si>
    <t>Low Stock / Expired</t>
  </si>
  <si>
    <t>CALENDAR EVENT SCHEDULE</t>
  </si>
  <si>
    <t>Drives: 7×5 Calendar Grid · Colour-coding by Frequency  |  SyRS: SYS-SCH-001 to SYS-SCH-006</t>
  </si>
  <si>
    <t>Event_Date</t>
  </si>
  <si>
    <t>Day_of_Week</t>
  </si>
  <si>
    <t>Subsystem_Name</t>
  </si>
  <si>
    <t>Colour_Code</t>
  </si>
  <si>
    <t>Duration_hrs</t>
  </si>
  <si>
    <t>Calendar_Label</t>
  </si>
  <si>
    <t>Friday</t>
  </si>
  <si>
    <t>Rectifier – Monthly</t>
  </si>
  <si>
    <t>Auto-generated from frequency rules</t>
  </si>
  <si>
    <t>DTRM – Monthly</t>
  </si>
  <si>
    <t>2026-05-04</t>
  </si>
  <si>
    <t>Monday</t>
  </si>
  <si>
    <t>LCU – Weekly</t>
  </si>
  <si>
    <t>IFF – Weekly</t>
  </si>
  <si>
    <t>2026-05-11</t>
  </si>
  <si>
    <t>2026-05-18</t>
  </si>
  <si>
    <t>2026-05-25</t>
  </si>
  <si>
    <t>2026-06-08</t>
  </si>
  <si>
    <t>2026-06-15</t>
  </si>
  <si>
    <t>2026-06-22</t>
  </si>
  <si>
    <t>2026-06-29</t>
  </si>
  <si>
    <t>USER REGISTER — ROLE-BASED ACCESS CONTROL (RBAC)</t>
  </si>
  <si>
    <t>Drives: Authentication &amp; RBAC module  |  SyRS: SYS-SEC-001 to SYS-SEC-005  |  Interface: INF-05 (LDAP)</t>
  </si>
  <si>
    <t>User_ID</t>
  </si>
  <si>
    <t>Full_Name</t>
  </si>
  <si>
    <t>Role</t>
  </si>
  <si>
    <t>Permissions</t>
  </si>
  <si>
    <t>Email</t>
  </si>
  <si>
    <t>Last_Login</t>
  </si>
  <si>
    <t>Expiry_Date</t>
  </si>
  <si>
    <t>ADMIN001</t>
  </si>
  <si>
    <t>Radar Admin User</t>
  </si>
  <si>
    <t>Administrator</t>
  </si>
  <si>
    <t>Full access: read/write/schedule/approve/configure/audit</t>
  </si>
  <si>
    <t>admin@radar-maint.mil</t>
  </si>
  <si>
    <t>Active</t>
  </si>
  <si>
    <t>2026-06-05</t>
  </si>
  <si>
    <t>2027-05-31</t>
  </si>
  <si>
    <t>System administrator; all permissions</t>
  </si>
  <si>
    <t>ENG001</t>
  </si>
  <si>
    <t>Systems Engineer (SE1)</t>
  </si>
  <si>
    <t>Engineer</t>
  </si>
  <si>
    <t>Read/Write/Schedule/Reschedule/Export PDF/Approve PM</t>
  </si>
  <si>
    <t>eng001@radar-maint.mil</t>
  </si>
  <si>
    <t>2026-06-04</t>
  </si>
  <si>
    <t>2026-12-31</t>
  </si>
  <si>
    <t>Lead engineer; SyRS SYS-RPT-003 Reschedule authority</t>
  </si>
  <si>
    <t>ENG002</t>
  </si>
  <si>
    <t>Systems Engineer (SE2)</t>
  </si>
  <si>
    <t>eng002@radar-maint.mil</t>
  </si>
  <si>
    <t>2026-06-03</t>
  </si>
  <si>
    <t>Deputy engineer</t>
  </si>
  <si>
    <t>TECH001</t>
  </si>
  <si>
    <t>Technician Alpha</t>
  </si>
  <si>
    <t>Technician</t>
  </si>
  <si>
    <t>Read/Execute checklists/Mark tasks complete/View inventory</t>
  </si>
  <si>
    <t>tech001@radar-maint.mil</t>
  </si>
  <si>
    <t>Cleared for all subsystem maintenance tasks</t>
  </si>
  <si>
    <t>TECH002</t>
  </si>
  <si>
    <t>Technician Bravo</t>
  </si>
  <si>
    <t>tech002@radar-maint.mil</t>
  </si>
  <si>
    <t>Cleared for LCU, Rectifier, QJB only</t>
  </si>
  <si>
    <t>TECH003</t>
  </si>
  <si>
    <t>Technician Charlie</t>
  </si>
  <si>
    <t>tech003@radar-maint.mil</t>
  </si>
  <si>
    <t>Inactive</t>
  </si>
  <si>
    <t>2026-06-30</t>
  </si>
  <si>
    <t>On leave – access suspended</t>
  </si>
  <si>
    <t>LOG001</t>
  </si>
  <si>
    <t>Logistics Officer</t>
  </si>
  <si>
    <t>Logistics</t>
  </si>
  <si>
    <t>Read inventory/Update stock levels/Generate low-stock reports</t>
  </si>
  <si>
    <t>log001@radar-maint.mil</t>
  </si>
  <si>
    <t>2026-06-02</t>
  </si>
  <si>
    <t>INV monitor access only; SYS-INV-001 to SYS-INV-004</t>
  </si>
  <si>
    <t>SUP001</t>
  </si>
  <si>
    <t>Commander / Supervisor</t>
  </si>
  <si>
    <t>Supervisor</t>
  </si>
  <si>
    <t>Read all/View status gauge/Export PDF/Approve reschedule</t>
  </si>
  <si>
    <t>sup001@radar-maint.mil</t>
  </si>
  <si>
    <t>2026-05-30</t>
  </si>
  <si>
    <t>Read-only oversight with approval authority</t>
  </si>
  <si>
    <t>PM RECORDS LOG — COMPLETED MAINTENANCE</t>
  </si>
  <si>
    <t>Drives: Audit Trail · Readiness Status Gauge (SYS-MET-003/004) · Reporting (SYS-RPT-001/002)  |  Interface: INF-02</t>
  </si>
  <si>
    <t>Record_ID</t>
  </si>
  <si>
    <t>PM_Date</t>
  </si>
  <si>
    <t>Technician_ID</t>
  </si>
  <si>
    <t>Tasks_Total</t>
  </si>
  <si>
    <t>Tasks_Done</t>
  </si>
  <si>
    <t>Completion_%</t>
  </si>
  <si>
    <t>Overall_Status</t>
  </si>
  <si>
    <t>Supervisor_ID</t>
  </si>
  <si>
    <t>Rescheduled</t>
  </si>
  <si>
    <t>Remarks</t>
  </si>
  <si>
    <t>Audit_Timestamp</t>
  </si>
  <si>
    <t>RPM-20260516-001</t>
  </si>
  <si>
    <t>2026-05-16</t>
  </si>
  <si>
    <t>100%</t>
  </si>
  <si>
    <t>COMPLETE</t>
  </si>
  <si>
    <t>N</t>
  </si>
  <si>
    <t>All tasks completed. Bus voltage 24.01V. No faults.</t>
  </si>
  <si>
    <t>2026-05-16T09:15:00Z</t>
  </si>
  <si>
    <t>SYS-MET-004</t>
  </si>
  <si>
    <t>RPM-20260516-002</t>
  </si>
  <si>
    <t>All modes active. Power level nominal.</t>
  </si>
  <si>
    <t>2026-05-16T09:50:00Z</t>
  </si>
  <si>
    <t>RPM-20260516-003</t>
  </si>
  <si>
    <t>80%</t>
  </si>
  <si>
    <t>PARTIAL</t>
  </si>
  <si>
    <t>Task 4 (bearing lube) deferred – grease gun unavailable.</t>
  </si>
  <si>
    <t>2026-05-16T11:30:00Z</t>
  </si>
  <si>
    <t>SYS-RPT-003</t>
  </si>
  <si>
    <t>RPM-20260501-004</t>
  </si>
  <si>
    <t>NF measurement: 3.2 dB. Within spec.</t>
  </si>
  <si>
    <t>2026-05-01T10:00:00Z</t>
  </si>
  <si>
    <t>RPM-20260501-005</t>
  </si>
  <si>
    <t>DC output 24.03V. Bearing grease 45g applied.</t>
  </si>
  <si>
    <t>2026-05-01T11:45:00Z</t>
  </si>
  <si>
    <t>RESCHEDULE PM LOG</t>
  </si>
  <si>
    <t>Drives: Reschedule PM Function · Remark Flag  |  SyRS: SYS-SCH-004, SYS-RPT-003</t>
  </si>
  <si>
    <t>Log_ID</t>
  </si>
  <si>
    <t>Original_Date</t>
  </si>
  <si>
    <t>New_Date</t>
  </si>
  <si>
    <t>Reason_for_Rescheduling</t>
  </si>
  <si>
    <t>Authorised_By</t>
  </si>
  <si>
    <t>Requested_By</t>
  </si>
  <si>
    <t>Timestamp</t>
  </si>
  <si>
    <t>RSC-001</t>
  </si>
  <si>
    <t>2026-05-17</t>
  </si>
  <si>
    <t>Grease gun unavailable – requisitioned from stores. PM deferred 24 hrs.</t>
  </si>
  <si>
    <t>Completed</t>
  </si>
  <si>
    <t>Completed on 17 May with no issues</t>
  </si>
  <si>
    <t>RSC-002</t>
  </si>
  <si>
    <t>2026-01-08</t>
  </si>
  <si>
    <t>New Year operational stand-down. Full crew not available for annual PM.</t>
  </si>
  <si>
    <t>2025-12-28T09:00:00Z</t>
  </si>
  <si>
    <t>Annual PM completed 08 Jan 2026</t>
  </si>
  <si>
    <t>RSC-003</t>
  </si>
  <si>
    <t>2026-04-05</t>
  </si>
  <si>
    <t>Permit to Work (PTW) system delay – PTW not granted on scheduled date.</t>
  </si>
  <si>
    <t>2026-04-01T08:15:00Z</t>
  </si>
  <si>
    <t>PTW issued 04 Apr; PM completed 05 Apr</t>
  </si>
  <si>
    <t>DASHBOARD SUMMARY METRICS CONFIGURATION</t>
  </si>
  <si>
    <t>Drives: Top Summary Widgets (Planned Checks Today, Est. Maint. Time, Subsystems Eligible, Status Gauge)  |  SyRS: SYS-MET-001 to SYS-MET-004</t>
  </si>
  <si>
    <t>Metric_ID</t>
  </si>
  <si>
    <t>Dashboard_Widget_Label</t>
  </si>
  <si>
    <t>Current_Value</t>
  </si>
  <si>
    <t>Unit</t>
  </si>
  <si>
    <t>Source_Sheet</t>
  </si>
  <si>
    <t>Formula_Logic</t>
  </si>
  <si>
    <t>MET-001</t>
  </si>
  <si>
    <t>PLANNED CHECKS TODAY</t>
  </si>
  <si>
    <t>Tasks</t>
  </si>
  <si>
    <t>COUNT tasks where Subsystem_ID is in today's eligible list</t>
  </si>
  <si>
    <t>SYS-MET-001</t>
  </si>
  <si>
    <t>Updates on date selection; driven by eligibility rules</t>
  </si>
  <si>
    <t>MET-002</t>
  </si>
  <si>
    <t>ESTIMATED MAINT. TIME</t>
  </si>
  <si>
    <t>Hours</t>
  </si>
  <si>
    <t>SUM(Est_Duration_hrs) for all eligible subsystems on selected date</t>
  </si>
  <si>
    <t>SYS-MET-002</t>
  </si>
  <si>
    <t>Total from SUBSYSTEM_MASTER.Est_Duration_hrs; filtered by date</t>
  </si>
  <si>
    <t>MET-003</t>
  </si>
  <si>
    <t>SUBSYSTEMS ELIGIBLE</t>
  </si>
  <si>
    <t>Subsystems</t>
  </si>
  <si>
    <t>COUNT(Subsystem_ID) where eligibility rule fires for selected date</t>
  </si>
  <si>
    <t>Dynamically computed each time date changes</t>
  </si>
  <si>
    <t>MET-004</t>
  </si>
  <si>
    <t>SYSTEM READINESS STATUS</t>
  </si>
  <si>
    <t>%</t>
  </si>
  <si>
    <t>COUNTIF(Completion_Status=COMPLETE)/TOTAL_TASKS_TODAY * 100</t>
  </si>
  <si>
    <t>SYS-MET-003</t>
  </si>
  <si>
    <t>Gauge updates as tasks marked complete; SYS-MET-004</t>
  </si>
  <si>
    <t>MET-005</t>
  </si>
  <si>
    <t>LOW STOCK ALERTS</t>
  </si>
  <si>
    <t>Items</t>
  </si>
  <si>
    <t>COUNTIF(CONSUMABLES.Status, "Low Stock")</t>
  </si>
  <si>
    <t>SYS-INV-004</t>
  </si>
  <si>
    <t>Shown as red badge count in inventory header</t>
  </si>
  <si>
    <t>MET-006</t>
  </si>
  <si>
    <t>LIFE SPAN ALERTS</t>
  </si>
  <si>
    <t>COUNTIF(FIXED_LIFE_SPARES.Status, "Low Stock")</t>
  </si>
  <si>
    <t>Items expired or within 2-month warning window</t>
  </si>
  <si>
    <t>MET-007</t>
  </si>
  <si>
    <t>TOTAL ACTIVE SUBSYSTEMS</t>
  </si>
  <si>
    <t>COUNTIF(SUBSYSTEM_MASTER.Active_Flag, "Y")</t>
  </si>
  <si>
    <t>Total monitored subsystems in system</t>
  </si>
  <si>
    <t>MET-008</t>
  </si>
  <si>
    <t>PM COMPLETION RATE (MTD)</t>
  </si>
  <si>
    <t>COUNTIF(PM_RECORDS.Overall_Status,COMPLETE)/COUNT(PM_RECORDS)*100</t>
  </si>
  <si>
    <t>Month-to-date PM completion rate for reporting</t>
  </si>
  <si>
    <t>OWS 1</t>
  </si>
  <si>
    <t xml:space="preserve">Operator Workstation </t>
  </si>
  <si>
    <t xml:space="preserve">Display Console </t>
  </si>
  <si>
    <t>task_Description</t>
  </si>
  <si>
    <t>Thursday</t>
  </si>
  <si>
    <t>DG Gen – Annual</t>
  </si>
  <si>
    <t>Tuesday</t>
  </si>
  <si>
    <t>QJB – Quarterly</t>
  </si>
  <si>
    <t>STM – Quarterly</t>
  </si>
  <si>
    <t>MCU – Annual</t>
  </si>
  <si>
    <t>DBF – Quarterly</t>
  </si>
  <si>
    <t>DRM – Quarterly</t>
  </si>
  <si>
    <t>NFS – Quarterly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</si>
</sst>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14009]yyyy/mm/dd;@"/>
  </numFmts>
  <fonts count="34" x14ac:knownFonts="1">
    <font>
      <sz val="11"/>
      <color theme="1"/>
      <name val="Calibri"/>
      <family val="2"/>
      <charset val="1"/>
    </font>
    <font>
      <b/>
      <sz val="20"/>
      <color rgb="FF00C8FF"/>
      <name val="Arial"/>
      <charset val="1"/>
    </font>
    <font>
      <b/>
      <sz val="12"/>
      <color rgb="FF7BBFEA"/>
      <name val="Arial"/>
      <charset val="1"/>
    </font>
    <font>
      <sz val="10"/>
      <color rgb="FF4A7A9A"/>
      <name val="Arial"/>
      <charset val="1"/>
    </font>
    <font>
      <b/>
      <sz val="11"/>
      <color rgb="FFFFFFFF"/>
      <name val="Arial"/>
      <charset val="1"/>
    </font>
    <font>
      <b/>
      <sz val="10"/>
      <color rgb="FF00C8FF"/>
      <name val="Arial"/>
      <charset val="1"/>
    </font>
    <font>
      <sz val="10"/>
      <color rgb="FFC8D8E8"/>
      <name val="Arial"/>
      <charset val="1"/>
    </font>
    <font>
      <sz val="10"/>
      <color rgb="FF3A3A3A"/>
      <name val="Arial"/>
      <charset val="1"/>
    </font>
    <font>
      <b/>
      <sz val="10"/>
      <color rgb="FF1F5BB8"/>
      <name val="Arial"/>
      <charset val="1"/>
    </font>
    <font>
      <b/>
      <sz val="10"/>
      <color rgb="FFFFFFFF"/>
      <name val="Arial"/>
      <charset val="1"/>
    </font>
    <font>
      <b/>
      <sz val="10"/>
      <color rgb="FF3A3A3A"/>
      <name val="Arial"/>
      <charset val="1"/>
    </font>
    <font>
      <b/>
      <sz val="14"/>
      <color rgb="FF00C8FF"/>
      <name val="Arial"/>
      <charset val="1"/>
    </font>
    <font>
      <sz val="10"/>
      <color rgb="FF7BBFEA"/>
      <name val="Arial"/>
      <charset val="1"/>
    </font>
    <font>
      <sz val="10"/>
      <color rgb="FF6B7280"/>
      <name val="Arial"/>
      <charset val="1"/>
    </font>
    <font>
      <b/>
      <sz val="10"/>
      <color rgb="FF1D4ED8"/>
      <name val="Arial"/>
      <charset val="1"/>
    </font>
    <font>
      <sz val="10"/>
      <color rgb="FF1D4ED8"/>
      <name val="Arial"/>
      <charset val="1"/>
    </font>
    <font>
      <b/>
      <sz val="10"/>
      <color rgb="FF1E6B3A"/>
      <name val="Arial"/>
      <charset val="1"/>
    </font>
    <font>
      <b/>
      <sz val="10"/>
      <color rgb="FFB91C1C"/>
      <name val="Arial"/>
      <charset val="1"/>
    </font>
    <font>
      <sz val="10"/>
      <color rgb="FFB91C1C"/>
      <name val="Arial"/>
      <charset val="1"/>
    </font>
    <font>
      <b/>
      <sz val="10"/>
      <color rgb="FF92400E"/>
      <name val="Arial"/>
      <charset val="1"/>
    </font>
    <font>
      <sz val="10"/>
      <color rgb="FF92400E"/>
      <name val="Arial"/>
      <charset val="1"/>
    </font>
    <font>
      <b/>
      <sz val="10"/>
      <color rgb="FF15803D"/>
      <name val="Arial"/>
      <charset val="1"/>
    </font>
    <font>
      <sz val="10"/>
      <color rgb="FF15803D"/>
      <name val="Arial"/>
      <charset val="1"/>
    </font>
    <font>
      <b/>
      <sz val="12"/>
      <color rgb="FFFFFFFF"/>
      <name val="Arial"/>
      <charset val="1"/>
    </font>
    <font>
      <sz val="9"/>
      <color rgb="FFC0D8E8"/>
      <name val="Arial"/>
      <charset val="1"/>
    </font>
    <font>
      <b/>
      <sz val="10"/>
      <color rgb="FF6B7280"/>
      <name val="Arial"/>
      <charset val="1"/>
    </font>
    <font>
      <b/>
      <sz val="10"/>
      <color rgb="FF0D2A5E"/>
      <name val="Arial"/>
      <charset val="1"/>
    </font>
    <font>
      <sz val="10"/>
      <color rgb="FF7D4E00"/>
      <name val="Arial"/>
      <charset val="1"/>
    </font>
    <font>
      <b/>
      <sz val="10"/>
      <color rgb="FF7F1D1D"/>
      <name val="Arial"/>
      <charset val="1"/>
    </font>
    <font>
      <i/>
      <sz val="10"/>
      <color rgb="FF7F1D1D"/>
      <name val="Arial"/>
      <charset val="1"/>
    </font>
    <font>
      <b/>
      <sz val="10"/>
      <color rgb="FF7D4E00"/>
      <name val="Arial"/>
      <charset val="1"/>
    </font>
    <font>
      <b/>
      <sz val="10"/>
      <color rgb="FF4B0082"/>
      <name val="Arial"/>
      <charset val="1"/>
    </font>
    <font>
      <sz val="10"/>
      <color rgb="FF1E6B3A"/>
      <name val="Arial"/>
      <charset val="1"/>
    </font>
    <font>
      <sz val="10"/>
      <color rgb="FF006B8F"/>
      <name val="Arial"/>
      <charset val="1"/>
    </font>
  </fonts>
  <fills count="26">
    <fill>
      <patternFill patternType="none"/>
    </fill>
    <fill>
      <patternFill patternType="gray125"/>
    </fill>
    <fill>
      <patternFill patternType="solid">
        <fgColor rgb="FF081830"/>
        <bgColor rgb="FF0D2040"/>
      </patternFill>
    </fill>
    <fill>
      <patternFill patternType="solid">
        <fgColor rgb="FF1F5BB8"/>
        <bgColor rgb="FF1D4ED8"/>
      </patternFill>
    </fill>
    <fill>
      <patternFill patternType="solid">
        <fgColor rgb="FF006B8F"/>
        <bgColor rgb="FF1F5BB8"/>
      </patternFill>
    </fill>
    <fill>
      <patternFill patternType="solid">
        <fgColor rgb="FF0D2040"/>
        <bgColor rgb="FF081830"/>
      </patternFill>
    </fill>
    <fill>
      <patternFill patternType="solid">
        <fgColor rgb="FF0D2A5E"/>
        <bgColor rgb="FF0D2040"/>
      </patternFill>
    </fill>
    <fill>
      <patternFill patternType="solid">
        <fgColor rgb="FFF4F6FA"/>
        <bgColor rgb="FFFFFFFF"/>
      </patternFill>
    </fill>
    <fill>
      <patternFill patternType="solid">
        <fgColor rgb="FFFFFFFF"/>
        <bgColor rgb="FFF4F6FA"/>
      </patternFill>
    </fill>
    <fill>
      <patternFill patternType="solid">
        <fgColor rgb="FF1D4ED8"/>
        <bgColor rgb="FF1F5BB8"/>
      </patternFill>
    </fill>
    <fill>
      <patternFill patternType="solid">
        <fgColor rgb="FFB91C1C"/>
        <bgColor rgb="FF7F1D1D"/>
      </patternFill>
    </fill>
    <fill>
      <patternFill patternType="solid">
        <fgColor rgb="FF15803D"/>
        <bgColor rgb="FF0D6B3A"/>
      </patternFill>
    </fill>
    <fill>
      <patternFill patternType="solid">
        <fgColor rgb="FF92400E"/>
        <bgColor rgb="FF7D4E00"/>
      </patternFill>
    </fill>
    <fill>
      <patternFill patternType="solid">
        <fgColor rgb="FF1E6B3A"/>
        <bgColor rgb="FF0D6B3A"/>
      </patternFill>
    </fill>
    <fill>
      <patternFill patternType="solid">
        <fgColor rgb="FF7F1D1D"/>
        <bgColor rgb="FF800000"/>
      </patternFill>
    </fill>
    <fill>
      <patternFill patternType="solid">
        <fgColor rgb="FF7D4E00"/>
        <bgColor rgb="FF92400E"/>
      </patternFill>
    </fill>
    <fill>
      <patternFill patternType="solid">
        <fgColor rgb="FFE8EDF4"/>
        <bgColor rgb="FFEDE9FE"/>
      </patternFill>
    </fill>
    <fill>
      <patternFill patternType="solid">
        <fgColor rgb="FFDBEAFE"/>
        <bgColor rgb="FFD6E4F7"/>
      </patternFill>
    </fill>
    <fill>
      <patternFill patternType="solid">
        <fgColor rgb="FFD6E4F7"/>
        <bgColor rgb="FFDBEAFE"/>
      </patternFill>
    </fill>
    <fill>
      <patternFill patternType="solid">
        <fgColor rgb="FFD4EDDA"/>
        <bgColor rgb="FFD6E4F7"/>
      </patternFill>
    </fill>
    <fill>
      <patternFill patternType="solid">
        <fgColor rgb="FFFEE2E2"/>
        <bgColor rgb="FFFDE8E8"/>
      </patternFill>
    </fill>
    <fill>
      <patternFill patternType="solid">
        <fgColor rgb="FFFEF3C7"/>
        <bgColor rgb="FFFFF3CD"/>
      </patternFill>
    </fill>
    <fill>
      <patternFill patternType="solid">
        <fgColor rgb="FFDCFCE7"/>
        <bgColor rgb="FFD4EDDA"/>
      </patternFill>
    </fill>
    <fill>
      <patternFill patternType="solid">
        <fgColor rgb="FFFFF3CD"/>
        <bgColor rgb="FFFEF3C7"/>
      </patternFill>
    </fill>
    <fill>
      <patternFill patternType="solid">
        <fgColor rgb="FFFDE8E8"/>
        <bgColor rgb="FFFEE2E2"/>
      </patternFill>
    </fill>
    <fill>
      <patternFill patternType="solid">
        <fgColor rgb="FFEDE9FE"/>
        <bgColor rgb="FFE8EDF4"/>
      </patternFill>
    </fill>
  </fills>
  <borders count="5">
    <border>
      <left/>
      <right/>
      <top/>
      <bottom/>
      <diagonal/>
    </border>
    <border>
      <left style="medium">
        <color rgb="FF1F5BB8"/>
      </left>
      <right style="medium">
        <color rgb="FF1F5BB8"/>
      </right>
      <top style="medium">
        <color rgb="FF1F5BB8"/>
      </top>
      <bottom style="medium">
        <color rgb="FF1F5BB8"/>
      </bottom>
      <diagonal/>
    </border>
    <border>
      <left style="thin">
        <color rgb="FFAABBCC"/>
      </left>
      <right style="thin">
        <color rgb="FFAABBCC"/>
      </right>
      <top style="thin">
        <color rgb="FFAABBCC"/>
      </top>
      <bottom style="thin">
        <color rgb="FFAABBCC"/>
      </bottom>
      <diagonal/>
    </border>
    <border>
      <left style="thin">
        <color rgb="FFAABBCC"/>
      </left>
      <right/>
      <top style="thin">
        <color rgb="FFAABBCC"/>
      </top>
      <bottom style="thin">
        <color rgb="FFAABBCC"/>
      </bottom>
      <diagonal/>
    </border>
    <border>
      <left style="thin">
        <color rgb="FFAABBCC"/>
      </left>
      <right style="thin">
        <color rgb="FFAABBCC"/>
      </right>
      <top/>
      <bottom/>
      <diagonal/>
    </border>
  </borders>
  <cellStyleXfs count="1">
    <xf numFmtId="0" fontId="0" fillId="0" borderId="0"/>
  </cellStyleXfs>
  <cellXfs count="115">
    <xf numFmtId="0" fontId="0" fillId="0" borderId="0" xfId="0"/>
    <xf numFmtId="0" fontId="0" fillId="2" borderId="0" xfId="0" applyFill="1"/>
    <xf numFmtId="0" fontId="0" fillId="3" borderId="2" xfId="0" applyFill="1" applyBorder="1"/>
    <xf numFmtId="0" fontId="5" fillId="5" borderId="2" xfId="0" applyFont="1" applyFill="1" applyBorder="1" applyAlignment="1">
      <alignment horizontal="left" vertical="center"/>
    </xf>
    <xf numFmtId="0" fontId="7" fillId="7" borderId="2" xfId="0" applyFont="1" applyFill="1" applyBorder="1" applyAlignment="1">
      <alignment horizontal="left" vertical="center"/>
    </xf>
    <xf numFmtId="0" fontId="8" fillId="8" borderId="2" xfId="0" applyFont="1" applyFill="1" applyBorder="1" applyAlignment="1">
      <alignment horizontal="left" vertical="center"/>
    </xf>
    <xf numFmtId="0" fontId="0" fillId="9" borderId="2" xfId="0" applyFill="1" applyBorder="1"/>
    <xf numFmtId="0" fontId="9" fillId="9" borderId="2" xfId="0" applyFont="1" applyFill="1" applyBorder="1" applyAlignment="1">
      <alignment horizontal="left" vertical="center"/>
    </xf>
    <xf numFmtId="0" fontId="0" fillId="10" borderId="2" xfId="0" applyFill="1" applyBorder="1"/>
    <xf numFmtId="0" fontId="9" fillId="10" borderId="2" xfId="0" applyFont="1" applyFill="1" applyBorder="1" applyAlignment="1">
      <alignment horizontal="left" vertical="center"/>
    </xf>
    <xf numFmtId="0" fontId="0" fillId="11" borderId="2" xfId="0" applyFill="1" applyBorder="1"/>
    <xf numFmtId="0" fontId="9" fillId="11" borderId="2" xfId="0" applyFont="1" applyFill="1" applyBorder="1" applyAlignment="1">
      <alignment horizontal="left" vertical="center"/>
    </xf>
    <xf numFmtId="0" fontId="0" fillId="12" borderId="2" xfId="0" applyFill="1" applyBorder="1"/>
    <xf numFmtId="0" fontId="9" fillId="12" borderId="2" xfId="0" applyFont="1" applyFill="1" applyBorder="1" applyAlignment="1">
      <alignment horizontal="left" vertical="center"/>
    </xf>
    <xf numFmtId="0" fontId="0" fillId="13" borderId="2" xfId="0" applyFill="1" applyBorder="1"/>
    <xf numFmtId="0" fontId="9" fillId="13" borderId="2" xfId="0" applyFont="1" applyFill="1" applyBorder="1" applyAlignment="1">
      <alignment horizontal="left" vertical="center"/>
    </xf>
    <xf numFmtId="0" fontId="0" fillId="14" borderId="2" xfId="0" applyFill="1" applyBorder="1"/>
    <xf numFmtId="0" fontId="9" fillId="14" borderId="2" xfId="0" applyFont="1" applyFill="1" applyBorder="1" applyAlignment="1">
      <alignment horizontal="left" vertical="center"/>
    </xf>
    <xf numFmtId="0" fontId="0" fillId="15" borderId="2" xfId="0" applyFill="1" applyBorder="1"/>
    <xf numFmtId="0" fontId="9" fillId="15" borderId="2" xfId="0" applyFont="1" applyFill="1" applyBorder="1" applyAlignment="1">
      <alignment horizontal="left" vertical="center"/>
    </xf>
    <xf numFmtId="0" fontId="0" fillId="16" borderId="2" xfId="0" applyFill="1" applyBorder="1"/>
    <xf numFmtId="0" fontId="10" fillId="16" borderId="2" xfId="0" applyFont="1" applyFill="1" applyBorder="1" applyAlignment="1">
      <alignment horizontal="left" vertical="center"/>
    </xf>
    <xf numFmtId="0" fontId="0" fillId="17" borderId="2" xfId="0" applyFill="1" applyBorder="1"/>
    <xf numFmtId="0" fontId="10" fillId="17" borderId="2" xfId="0" applyFont="1" applyFill="1" applyBorder="1" applyAlignment="1">
      <alignment horizontal="left" vertical="center"/>
    </xf>
    <xf numFmtId="0" fontId="9" fillId="6" borderId="1" xfId="0" applyFont="1" applyFill="1" applyBorder="1" applyAlignment="1">
      <alignment horizontal="center" vertical="center" wrapText="1"/>
    </xf>
    <xf numFmtId="0" fontId="13" fillId="16" borderId="2" xfId="0" applyFont="1" applyFill="1" applyBorder="1" applyAlignment="1">
      <alignment horizontal="center" vertical="center"/>
    </xf>
    <xf numFmtId="0" fontId="8" fillId="18" borderId="2" xfId="0" applyFont="1" applyFill="1" applyBorder="1" applyAlignment="1">
      <alignment horizontal="left" vertical="center"/>
    </xf>
    <xf numFmtId="0" fontId="10" fillId="7" borderId="2" xfId="0" applyFont="1" applyFill="1" applyBorder="1" applyAlignment="1">
      <alignment horizontal="left" vertical="center"/>
    </xf>
    <xf numFmtId="0" fontId="14" fillId="17" borderId="2" xfId="0" applyFont="1" applyFill="1" applyBorder="1" applyAlignment="1">
      <alignment horizontal="left" vertical="center"/>
    </xf>
    <xf numFmtId="0" fontId="15" fillId="17" borderId="2" xfId="0" applyFont="1" applyFill="1" applyBorder="1" applyAlignment="1">
      <alignment horizontal="left" vertical="center"/>
    </xf>
    <xf numFmtId="0" fontId="13" fillId="16" borderId="2" xfId="0" applyFont="1" applyFill="1" applyBorder="1" applyAlignment="1">
      <alignment horizontal="left" vertical="center"/>
    </xf>
    <xf numFmtId="0" fontId="7" fillId="16" borderId="2" xfId="0" applyFont="1" applyFill="1" applyBorder="1" applyAlignment="1">
      <alignment horizontal="left" vertical="center"/>
    </xf>
    <xf numFmtId="0" fontId="16" fillId="19" borderId="2" xfId="0" applyFont="1" applyFill="1" applyBorder="1" applyAlignment="1">
      <alignment horizontal="left" vertical="center"/>
    </xf>
    <xf numFmtId="0" fontId="10" fillId="8" borderId="2" xfId="0" applyFont="1" applyFill="1" applyBorder="1" applyAlignment="1">
      <alignment horizontal="left" vertical="center"/>
    </xf>
    <xf numFmtId="0" fontId="17" fillId="20" borderId="2" xfId="0" applyFont="1" applyFill="1" applyBorder="1" applyAlignment="1">
      <alignment horizontal="left" vertical="center"/>
    </xf>
    <xf numFmtId="0" fontId="18" fillId="20" borderId="2" xfId="0" applyFont="1" applyFill="1" applyBorder="1" applyAlignment="1">
      <alignment horizontal="left" vertical="center"/>
    </xf>
    <xf numFmtId="0" fontId="7" fillId="8" borderId="2" xfId="0" applyFont="1" applyFill="1" applyBorder="1" applyAlignment="1">
      <alignment horizontal="left" vertical="center"/>
    </xf>
    <xf numFmtId="0" fontId="19" fillId="21" borderId="2" xfId="0" applyFont="1" applyFill="1" applyBorder="1" applyAlignment="1">
      <alignment horizontal="left" vertical="center"/>
    </xf>
    <xf numFmtId="0" fontId="20" fillId="21" borderId="2" xfId="0" applyFont="1" applyFill="1" applyBorder="1" applyAlignment="1">
      <alignment horizontal="left" vertical="center"/>
    </xf>
    <xf numFmtId="0" fontId="21" fillId="22" borderId="2" xfId="0" applyFont="1" applyFill="1" applyBorder="1" applyAlignment="1">
      <alignment horizontal="left" vertical="center"/>
    </xf>
    <xf numFmtId="0" fontId="22" fillId="22" borderId="2" xfId="0" applyFont="1" applyFill="1" applyBorder="1" applyAlignment="1">
      <alignment horizontal="left" vertical="center"/>
    </xf>
    <xf numFmtId="0" fontId="23" fillId="4" borderId="1" xfId="0" applyFont="1" applyFill="1" applyBorder="1" applyAlignment="1">
      <alignment horizontal="center" vertical="center"/>
    </xf>
    <xf numFmtId="0" fontId="14" fillId="17" borderId="2" xfId="0" applyFont="1" applyFill="1" applyBorder="1" applyAlignment="1">
      <alignment horizontal="center" vertical="center"/>
    </xf>
    <xf numFmtId="0" fontId="25" fillId="16" borderId="2" xfId="0" applyFont="1" applyFill="1" applyBorder="1" applyAlignment="1">
      <alignment horizontal="center" vertical="center"/>
    </xf>
    <xf numFmtId="0" fontId="10" fillId="8" borderId="2" xfId="0" applyFont="1" applyFill="1" applyBorder="1" applyAlignment="1">
      <alignment horizontal="left" vertical="center" wrapText="1"/>
    </xf>
    <xf numFmtId="0" fontId="26" fillId="8" borderId="2" xfId="0" applyFont="1" applyFill="1" applyBorder="1" applyAlignment="1">
      <alignment horizontal="left" vertical="center" wrapText="1"/>
    </xf>
    <xf numFmtId="0" fontId="7" fillId="8" borderId="2" xfId="0" applyFont="1" applyFill="1" applyBorder="1" applyAlignment="1">
      <alignment horizontal="left" vertical="top" wrapText="1"/>
    </xf>
    <xf numFmtId="0" fontId="7" fillId="16" borderId="2" xfId="0" applyFont="1" applyFill="1" applyBorder="1" applyAlignment="1">
      <alignment horizontal="center" vertical="center"/>
    </xf>
    <xf numFmtId="0" fontId="7" fillId="8" borderId="2" xfId="0" applyFont="1" applyFill="1" applyBorder="1" applyAlignment="1">
      <alignment horizontal="left" vertical="center" wrapText="1"/>
    </xf>
    <xf numFmtId="0" fontId="16" fillId="19" borderId="2" xfId="0" applyFont="1" applyFill="1" applyBorder="1" applyAlignment="1">
      <alignment horizontal="center" vertical="center"/>
    </xf>
    <xf numFmtId="0" fontId="27" fillId="23" borderId="2" xfId="0" applyFont="1" applyFill="1" applyBorder="1" applyAlignment="1">
      <alignment horizontal="center" vertical="center"/>
    </xf>
    <xf numFmtId="0" fontId="10" fillId="17" borderId="2" xfId="0" applyFont="1" applyFill="1" applyBorder="1" applyAlignment="1">
      <alignment horizontal="left" vertical="center" wrapText="1"/>
    </xf>
    <xf numFmtId="0" fontId="26" fillId="17" borderId="2" xfId="0" applyFont="1" applyFill="1" applyBorder="1" applyAlignment="1">
      <alignment horizontal="left" vertical="center" wrapText="1"/>
    </xf>
    <xf numFmtId="0" fontId="7" fillId="17" borderId="2" xfId="0" applyFont="1" applyFill="1" applyBorder="1" applyAlignment="1">
      <alignment horizontal="left" vertical="top" wrapText="1"/>
    </xf>
    <xf numFmtId="0" fontId="7" fillId="17" borderId="2" xfId="0" applyFont="1" applyFill="1" applyBorder="1" applyAlignment="1">
      <alignment horizontal="left" vertical="center" wrapText="1"/>
    </xf>
    <xf numFmtId="0" fontId="17" fillId="20" borderId="2" xfId="0" applyFont="1" applyFill="1" applyBorder="1" applyAlignment="1">
      <alignment horizontal="center" vertical="center"/>
    </xf>
    <xf numFmtId="0" fontId="10" fillId="20" borderId="2" xfId="0" applyFont="1" applyFill="1" applyBorder="1" applyAlignment="1">
      <alignment horizontal="left" vertical="center" wrapText="1"/>
    </xf>
    <xf numFmtId="0" fontId="26" fillId="20" borderId="2" xfId="0" applyFont="1" applyFill="1" applyBorder="1" applyAlignment="1">
      <alignment horizontal="left" vertical="center" wrapText="1"/>
    </xf>
    <xf numFmtId="0" fontId="7" fillId="20" borderId="2" xfId="0" applyFont="1" applyFill="1" applyBorder="1" applyAlignment="1">
      <alignment horizontal="left" vertical="top" wrapText="1"/>
    </xf>
    <xf numFmtId="0" fontId="7" fillId="20" borderId="2" xfId="0" applyFont="1" applyFill="1" applyBorder="1" applyAlignment="1">
      <alignment horizontal="left" vertical="center" wrapText="1"/>
    </xf>
    <xf numFmtId="0" fontId="19" fillId="21" borderId="2" xfId="0" applyFont="1" applyFill="1" applyBorder="1" applyAlignment="1">
      <alignment horizontal="center" vertical="center"/>
    </xf>
    <xf numFmtId="0" fontId="10" fillId="21" borderId="2" xfId="0" applyFont="1" applyFill="1" applyBorder="1" applyAlignment="1">
      <alignment horizontal="left" vertical="center" wrapText="1"/>
    </xf>
    <xf numFmtId="0" fontId="26" fillId="21" borderId="2" xfId="0" applyFont="1" applyFill="1" applyBorder="1" applyAlignment="1">
      <alignment horizontal="left" vertical="center" wrapText="1"/>
    </xf>
    <xf numFmtId="0" fontId="7" fillId="21" borderId="2" xfId="0" applyFont="1" applyFill="1" applyBorder="1" applyAlignment="1">
      <alignment horizontal="left" vertical="top" wrapText="1"/>
    </xf>
    <xf numFmtId="0" fontId="7" fillId="21" borderId="2" xfId="0" applyFont="1" applyFill="1" applyBorder="1" applyAlignment="1">
      <alignment horizontal="left" vertical="center" wrapText="1"/>
    </xf>
    <xf numFmtId="0" fontId="21" fillId="22" borderId="2" xfId="0" applyFont="1" applyFill="1" applyBorder="1" applyAlignment="1">
      <alignment horizontal="center" vertical="center"/>
    </xf>
    <xf numFmtId="0" fontId="10" fillId="22" borderId="2" xfId="0" applyFont="1" applyFill="1" applyBorder="1" applyAlignment="1">
      <alignment horizontal="left" vertical="center" wrapText="1"/>
    </xf>
    <xf numFmtId="0" fontId="26" fillId="22" borderId="2" xfId="0" applyFont="1" applyFill="1" applyBorder="1" applyAlignment="1">
      <alignment horizontal="left" vertical="center" wrapText="1"/>
    </xf>
    <xf numFmtId="0" fontId="7" fillId="22" borderId="2" xfId="0" applyFont="1" applyFill="1" applyBorder="1" applyAlignment="1">
      <alignment horizontal="left" vertical="top" wrapText="1"/>
    </xf>
    <xf numFmtId="0" fontId="7" fillId="22" borderId="2" xfId="0" applyFont="1" applyFill="1" applyBorder="1" applyAlignment="1">
      <alignment horizontal="left" vertical="center" wrapText="1"/>
    </xf>
    <xf numFmtId="0" fontId="25" fillId="16" borderId="2" xfId="0" applyFont="1" applyFill="1" applyBorder="1" applyAlignment="1">
      <alignment horizontal="left" vertical="center"/>
    </xf>
    <xf numFmtId="0" fontId="26" fillId="7" borderId="2" xfId="0" applyFont="1" applyFill="1" applyBorder="1" applyAlignment="1">
      <alignment horizontal="left" vertical="center"/>
    </xf>
    <xf numFmtId="0" fontId="26" fillId="8" borderId="2" xfId="0" applyFont="1" applyFill="1" applyBorder="1" applyAlignment="1">
      <alignment horizontal="left" vertical="center"/>
    </xf>
    <xf numFmtId="0" fontId="26" fillId="24" borderId="2" xfId="0" applyFont="1" applyFill="1" applyBorder="1" applyAlignment="1">
      <alignment horizontal="left" vertical="center"/>
    </xf>
    <xf numFmtId="0" fontId="28" fillId="24" borderId="2" xfId="0" applyFont="1" applyFill="1" applyBorder="1" applyAlignment="1">
      <alignment horizontal="left" vertical="center"/>
    </xf>
    <xf numFmtId="0" fontId="7" fillId="24" borderId="2" xfId="0" applyFont="1" applyFill="1" applyBorder="1" applyAlignment="1">
      <alignment horizontal="left" vertical="center"/>
    </xf>
    <xf numFmtId="0" fontId="4" fillId="14" borderId="1" xfId="0" applyFont="1" applyFill="1" applyBorder="1" applyAlignment="1">
      <alignment horizontal="center" vertical="center"/>
    </xf>
    <xf numFmtId="0" fontId="29" fillId="8" borderId="2" xfId="0" applyFont="1" applyFill="1" applyBorder="1"/>
    <xf numFmtId="0" fontId="26" fillId="23" borderId="2" xfId="0" applyFont="1" applyFill="1" applyBorder="1" applyAlignment="1">
      <alignment horizontal="left" vertical="center"/>
    </xf>
    <xf numFmtId="0" fontId="30" fillId="23" borderId="2" xfId="0" applyFont="1" applyFill="1" applyBorder="1" applyAlignment="1">
      <alignment horizontal="left" vertical="center"/>
    </xf>
    <xf numFmtId="0" fontId="23" fillId="14" borderId="1" xfId="0" applyFont="1" applyFill="1" applyBorder="1" applyAlignment="1">
      <alignment horizontal="center" vertical="center"/>
    </xf>
    <xf numFmtId="0" fontId="18" fillId="16" borderId="2" xfId="0" applyFont="1" applyFill="1" applyBorder="1" applyAlignment="1">
      <alignment horizontal="left" vertical="center"/>
    </xf>
    <xf numFmtId="0" fontId="13" fillId="7" borderId="2" xfId="0" applyFont="1" applyFill="1" applyBorder="1" applyAlignment="1">
      <alignment horizontal="left" vertical="center"/>
    </xf>
    <xf numFmtId="0" fontId="15" fillId="16" borderId="2" xfId="0" applyFont="1" applyFill="1" applyBorder="1" applyAlignment="1">
      <alignment horizontal="left" vertical="center"/>
    </xf>
    <xf numFmtId="0" fontId="8" fillId="16" borderId="2" xfId="0" applyFont="1" applyFill="1" applyBorder="1" applyAlignment="1">
      <alignment horizontal="left" vertical="center"/>
    </xf>
    <xf numFmtId="0" fontId="31" fillId="25" borderId="2" xfId="0" applyFont="1" applyFill="1" applyBorder="1" applyAlignment="1">
      <alignment horizontal="left" vertical="center"/>
    </xf>
    <xf numFmtId="0" fontId="30" fillId="21" borderId="2" xfId="0" applyFont="1" applyFill="1" applyBorder="1" applyAlignment="1">
      <alignment horizontal="left" vertical="center"/>
    </xf>
    <xf numFmtId="0" fontId="26" fillId="17" borderId="2" xfId="0" applyFont="1" applyFill="1" applyBorder="1" applyAlignment="1">
      <alignment horizontal="left" vertical="center"/>
    </xf>
    <xf numFmtId="0" fontId="32" fillId="19" borderId="2" xfId="0" applyFont="1" applyFill="1" applyBorder="1" applyAlignment="1">
      <alignment horizontal="left" vertical="center"/>
    </xf>
    <xf numFmtId="0" fontId="26" fillId="20" borderId="2" xfId="0" applyFont="1" applyFill="1" applyBorder="1" applyAlignment="1">
      <alignment horizontal="left" vertical="center"/>
    </xf>
    <xf numFmtId="0" fontId="0" fillId="7" borderId="2" xfId="0" applyFill="1" applyBorder="1"/>
    <xf numFmtId="0" fontId="0" fillId="8" borderId="2" xfId="0" applyFill="1" applyBorder="1"/>
    <xf numFmtId="0" fontId="26" fillId="18" borderId="2" xfId="0" applyFont="1" applyFill="1" applyBorder="1" applyAlignment="1">
      <alignment horizontal="left" vertical="center"/>
    </xf>
    <xf numFmtId="0" fontId="33" fillId="16" borderId="2" xfId="0" applyFont="1" applyFill="1" applyBorder="1" applyAlignment="1">
      <alignment horizontal="left" vertical="center"/>
    </xf>
    <xf numFmtId="0" fontId="13" fillId="16" borderId="0" xfId="0" applyFont="1" applyFill="1" applyAlignment="1">
      <alignment horizontal="center" vertical="center"/>
    </xf>
    <xf numFmtId="0" fontId="8" fillId="18" borderId="0" xfId="0" applyFont="1" applyFill="1" applyAlignment="1">
      <alignment horizontal="left" vertical="center"/>
    </xf>
    <xf numFmtId="0" fontId="10" fillId="7" borderId="0" xfId="0" applyFont="1" applyFill="1" applyAlignment="1">
      <alignment horizontal="left" vertical="center"/>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9" fillId="9" borderId="1" xfId="0" applyFont="1" applyFill="1" applyBorder="1" applyAlignment="1">
      <alignment horizontal="left" vertical="center"/>
    </xf>
    <xf numFmtId="0" fontId="9" fillId="10" borderId="1" xfId="0" applyFont="1" applyFill="1" applyBorder="1" applyAlignment="1">
      <alignment horizontal="left" vertical="center"/>
    </xf>
    <xf numFmtId="0" fontId="9" fillId="12" borderId="1" xfId="0" applyFont="1" applyFill="1" applyBorder="1" applyAlignment="1">
      <alignment horizontal="left" vertical="center"/>
    </xf>
    <xf numFmtId="0" fontId="9" fillId="11" borderId="1" xfId="0" applyFont="1" applyFill="1" applyBorder="1" applyAlignment="1">
      <alignment horizontal="lef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6" fillId="5" borderId="3" xfId="0" applyFont="1" applyFill="1" applyBorder="1" applyAlignment="1">
      <alignment horizontal="left" vertical="center" wrapText="1"/>
    </xf>
    <xf numFmtId="0" fontId="4" fillId="6" borderId="1" xfId="0" applyFont="1" applyFill="1" applyBorder="1" applyAlignment="1">
      <alignment horizontal="center" vertical="center"/>
    </xf>
    <xf numFmtId="0" fontId="7" fillId="7" borderId="3" xfId="0" applyFont="1" applyFill="1" applyBorder="1" applyAlignment="1">
      <alignment horizontal="left" vertical="center"/>
    </xf>
    <xf numFmtId="0" fontId="9" fillId="4" borderId="1" xfId="0" applyFont="1" applyFill="1" applyBorder="1" applyAlignment="1">
      <alignment horizontal="center" vertical="center"/>
    </xf>
    <xf numFmtId="0" fontId="24" fillId="4" borderId="1" xfId="0" applyFont="1" applyFill="1" applyBorder="1" applyAlignment="1">
      <alignment horizontal="left" vertical="center"/>
    </xf>
    <xf numFmtId="0" fontId="9" fillId="6" borderId="1" xfId="0" applyFont="1" applyFill="1" applyBorder="1" applyAlignment="1">
      <alignment horizontal="center" vertical="center"/>
    </xf>
    <xf numFmtId="0" fontId="13" fillId="16" borderId="4" xfId="0" applyFont="1" applyFill="1" applyBorder="1" applyAlignment="1">
      <alignment horizontal="center" vertical="center"/>
    </xf>
    <xf numFmtId="169" fontId="0" fillId="0" borderId="0" xfId="0" applyNumberFormat="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E8EDF4"/>
      <rgbColor rgb="FFFF00FF"/>
      <rgbColor rgb="FF00FFFF"/>
      <rgbColor rgb="FF7F1D1D"/>
      <rgbColor rgb="FF15803D"/>
      <rgbColor rgb="FF000080"/>
      <rgbColor rgb="FF7D4E00"/>
      <rgbColor rgb="FF800080"/>
      <rgbColor rgb="FF006B8F"/>
      <rgbColor rgb="FFAABBCC"/>
      <rgbColor rgb="FF4A7A9A"/>
      <rgbColor rgb="FFD6E4F7"/>
      <rgbColor rgb="FFB91C1C"/>
      <rgbColor rgb="FFFFF3CD"/>
      <rgbColor rgb="FFDCFCE7"/>
      <rgbColor rgb="FF4B0082"/>
      <rgbColor rgb="FFFF8080"/>
      <rgbColor rgb="FF1F5BB8"/>
      <rgbColor rgb="FFC8D8E8"/>
      <rgbColor rgb="FF000080"/>
      <rgbColor rgb="FFFF00FF"/>
      <rgbColor rgb="FFF4F6FA"/>
      <rgbColor rgb="FF00FFFF"/>
      <rgbColor rgb="FF800080"/>
      <rgbColor rgb="FF800000"/>
      <rgbColor rgb="FF0D6B3A"/>
      <rgbColor rgb="FF0000FF"/>
      <rgbColor rgb="FF00C8FF"/>
      <rgbColor rgb="FFDBEAFE"/>
      <rgbColor rgb="FFD4EDDA"/>
      <rgbColor rgb="FFFEF3C7"/>
      <rgbColor rgb="FF7BBFEA"/>
      <rgbColor rgb="FFFDE8E8"/>
      <rgbColor rgb="FFC0D8E8"/>
      <rgbColor rgb="FFFEE2E2"/>
      <rgbColor rgb="FF1D4ED8"/>
      <rgbColor rgb="FF33CCCC"/>
      <rgbColor rgb="FF99CC00"/>
      <rgbColor rgb="FFFFCC00"/>
      <rgbColor rgb="FFFF9900"/>
      <rgbColor rgb="FFFF6600"/>
      <rgbColor rgb="FF6B7280"/>
      <rgbColor rgb="FFEDE9FE"/>
      <rgbColor rgb="FF0D2A5E"/>
      <rgbColor rgb="FF1E6B3A"/>
      <rgbColor rgb="FF081830"/>
      <rgbColor rgb="FF0D2040"/>
      <rgbColor rgb="FF92400E"/>
      <rgbColor rgb="FFB45309"/>
      <rgbColor rgb="FF065F46"/>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1830"/>
  </sheetPr>
  <dimension ref="A1:N60"/>
  <sheetViews>
    <sheetView showGridLines="0" workbookViewId="0">
      <selection activeCell="A34" sqref="A34"/>
    </sheetView>
  </sheetViews>
  <sheetFormatPr defaultColWidth="8.6640625" defaultRowHeight="14.4" x14ac:dyDescent="0.3"/>
  <cols>
    <col min="1" max="1" width="3" customWidth="1"/>
    <col min="2" max="2" width="16" customWidth="1"/>
    <col min="3" max="3" width="21.88671875" bestFit="1" customWidth="1"/>
    <col min="4" max="4" width="97.5546875" bestFit="1" customWidth="1"/>
    <col min="5" max="13" width="16" customWidth="1"/>
  </cols>
  <sheetData>
    <row r="1" spans="1:14" ht="9.75" customHeight="1" x14ac:dyDescent="0.3">
      <c r="A1" s="1"/>
      <c r="B1" s="1"/>
      <c r="C1" s="1"/>
      <c r="D1" s="1"/>
      <c r="E1" s="1"/>
      <c r="F1" s="1"/>
      <c r="G1" s="1"/>
      <c r="H1" s="1"/>
      <c r="I1" s="1"/>
      <c r="J1" s="1"/>
      <c r="K1" s="1"/>
      <c r="L1" s="1"/>
      <c r="M1" s="1"/>
      <c r="N1" s="1"/>
    </row>
    <row r="2" spans="1:14" x14ac:dyDescent="0.3">
      <c r="A2" s="1"/>
      <c r="B2" s="103" t="s">
        <v>0</v>
      </c>
      <c r="C2" s="103"/>
      <c r="D2" s="103"/>
      <c r="E2" s="103"/>
      <c r="F2" s="103"/>
      <c r="G2" s="103"/>
      <c r="H2" s="103"/>
      <c r="I2" s="103"/>
      <c r="J2" s="103"/>
      <c r="K2" s="103"/>
      <c r="L2" s="103"/>
      <c r="M2" s="103"/>
      <c r="N2" s="1"/>
    </row>
    <row r="3" spans="1:14" x14ac:dyDescent="0.3">
      <c r="A3" s="1"/>
      <c r="B3" s="103"/>
      <c r="C3" s="103"/>
      <c r="D3" s="103"/>
      <c r="E3" s="103"/>
      <c r="F3" s="103"/>
      <c r="G3" s="103"/>
      <c r="H3" s="103"/>
      <c r="I3" s="103"/>
      <c r="J3" s="103"/>
      <c r="K3" s="103"/>
      <c r="L3" s="103"/>
      <c r="M3" s="103"/>
      <c r="N3" s="1"/>
    </row>
    <row r="4" spans="1:14" ht="15.6" x14ac:dyDescent="0.3">
      <c r="A4" s="1"/>
      <c r="B4" s="104" t="s">
        <v>1</v>
      </c>
      <c r="C4" s="104"/>
      <c r="D4" s="104"/>
      <c r="E4" s="104"/>
      <c r="F4" s="104"/>
      <c r="G4" s="104"/>
      <c r="H4" s="104"/>
      <c r="I4" s="104"/>
      <c r="J4" s="104"/>
      <c r="K4" s="104"/>
      <c r="L4" s="104"/>
      <c r="M4" s="104"/>
      <c r="N4" s="1"/>
    </row>
    <row r="5" spans="1:14" x14ac:dyDescent="0.3">
      <c r="A5" s="1"/>
      <c r="B5" s="105" t="s">
        <v>2</v>
      </c>
      <c r="C5" s="105"/>
      <c r="D5" s="105"/>
      <c r="E5" s="105"/>
      <c r="F5" s="105"/>
      <c r="G5" s="105"/>
      <c r="H5" s="105"/>
      <c r="I5" s="105"/>
      <c r="J5" s="105"/>
      <c r="K5" s="105"/>
      <c r="L5" s="105"/>
      <c r="M5" s="105"/>
      <c r="N5" s="1"/>
    </row>
    <row r="6" spans="1:14" x14ac:dyDescent="0.3">
      <c r="A6" s="1"/>
      <c r="B6" s="2"/>
      <c r="C6" s="2"/>
      <c r="D6" s="2"/>
      <c r="E6" s="2"/>
      <c r="F6" s="2"/>
      <c r="G6" s="2"/>
      <c r="H6" s="2"/>
      <c r="I6" s="2"/>
      <c r="J6" s="2"/>
      <c r="K6" s="2"/>
      <c r="L6" s="2"/>
      <c r="M6" s="2"/>
      <c r="N6" s="1"/>
    </row>
    <row r="7" spans="1:14" x14ac:dyDescent="0.3">
      <c r="A7" s="1"/>
      <c r="B7" s="1"/>
      <c r="C7" s="1"/>
      <c r="D7" s="1"/>
      <c r="E7" s="1"/>
      <c r="F7" s="1"/>
      <c r="G7" s="1"/>
      <c r="H7" s="1"/>
      <c r="I7" s="1"/>
      <c r="J7" s="1"/>
      <c r="K7" s="1"/>
      <c r="L7" s="1"/>
      <c r="M7" s="1"/>
      <c r="N7" s="1"/>
    </row>
    <row r="8" spans="1:14" x14ac:dyDescent="0.3">
      <c r="A8" s="1"/>
      <c r="B8" s="106" t="s">
        <v>3</v>
      </c>
      <c r="C8" s="106"/>
      <c r="D8" s="106"/>
      <c r="E8" s="106"/>
      <c r="F8" s="106"/>
      <c r="G8" s="106"/>
      <c r="H8" s="106"/>
      <c r="I8" s="106"/>
      <c r="J8" s="106"/>
      <c r="K8" s="106"/>
      <c r="L8" s="106"/>
      <c r="M8" s="106"/>
      <c r="N8" s="1"/>
    </row>
    <row r="9" spans="1:14" ht="27.75" customHeight="1" x14ac:dyDescent="0.3">
      <c r="A9" s="1"/>
      <c r="B9" s="3" t="s">
        <v>4</v>
      </c>
      <c r="C9" s="107" t="s">
        <v>5</v>
      </c>
      <c r="D9" s="107"/>
      <c r="E9" s="107"/>
      <c r="F9" s="107"/>
      <c r="G9" s="107"/>
      <c r="H9" s="107"/>
      <c r="I9" s="107"/>
      <c r="J9" s="107"/>
      <c r="K9" s="107"/>
      <c r="L9" s="107"/>
      <c r="M9" s="107"/>
      <c r="N9" s="1"/>
    </row>
    <row r="10" spans="1:14" ht="27.75" customHeight="1" x14ac:dyDescent="0.3">
      <c r="A10" s="1"/>
      <c r="B10" s="3" t="s">
        <v>6</v>
      </c>
      <c r="C10" s="107" t="s">
        <v>7</v>
      </c>
      <c r="D10" s="107"/>
      <c r="E10" s="107"/>
      <c r="F10" s="107"/>
      <c r="G10" s="107"/>
      <c r="H10" s="107"/>
      <c r="I10" s="107"/>
      <c r="J10" s="107"/>
      <c r="K10" s="107"/>
      <c r="L10" s="107"/>
      <c r="M10" s="107"/>
      <c r="N10" s="1"/>
    </row>
    <row r="11" spans="1:14" ht="27.75" customHeight="1" x14ac:dyDescent="0.3">
      <c r="A11" s="1"/>
      <c r="B11" s="3" t="s">
        <v>8</v>
      </c>
      <c r="C11" s="107" t="s">
        <v>9</v>
      </c>
      <c r="D11" s="107"/>
      <c r="E11" s="107"/>
      <c r="F11" s="107"/>
      <c r="G11" s="107"/>
      <c r="H11" s="107"/>
      <c r="I11" s="107"/>
      <c r="J11" s="107"/>
      <c r="K11" s="107"/>
      <c r="L11" s="107"/>
      <c r="M11" s="107"/>
      <c r="N11" s="1"/>
    </row>
    <row r="12" spans="1:14" ht="27.75" customHeight="1" x14ac:dyDescent="0.3">
      <c r="A12" s="1"/>
      <c r="B12" s="3" t="s">
        <v>10</v>
      </c>
      <c r="C12" s="107" t="s">
        <v>11</v>
      </c>
      <c r="D12" s="107"/>
      <c r="E12" s="107"/>
      <c r="F12" s="107"/>
      <c r="G12" s="107"/>
      <c r="H12" s="107"/>
      <c r="I12" s="107"/>
      <c r="J12" s="107"/>
      <c r="K12" s="107"/>
      <c r="L12" s="107"/>
      <c r="M12" s="107"/>
      <c r="N12" s="1"/>
    </row>
    <row r="13" spans="1:14" ht="27.75" customHeight="1" x14ac:dyDescent="0.3">
      <c r="A13" s="1"/>
      <c r="B13" s="3" t="s">
        <v>12</v>
      </c>
      <c r="C13" s="107" t="s">
        <v>13</v>
      </c>
      <c r="D13" s="107"/>
      <c r="E13" s="107"/>
      <c r="F13" s="107"/>
      <c r="G13" s="107"/>
      <c r="H13" s="107"/>
      <c r="I13" s="107"/>
      <c r="J13" s="107"/>
      <c r="K13" s="107"/>
      <c r="L13" s="107"/>
      <c r="M13" s="107"/>
      <c r="N13" s="1"/>
    </row>
    <row r="14" spans="1:14" ht="27.75" customHeight="1" x14ac:dyDescent="0.3">
      <c r="A14" s="1"/>
      <c r="B14" s="3" t="s">
        <v>14</v>
      </c>
      <c r="C14" s="107" t="s">
        <v>15</v>
      </c>
      <c r="D14" s="107"/>
      <c r="E14" s="107"/>
      <c r="F14" s="107"/>
      <c r="G14" s="107"/>
      <c r="H14" s="107"/>
      <c r="I14" s="107"/>
      <c r="J14" s="107"/>
      <c r="K14" s="107"/>
      <c r="L14" s="107"/>
      <c r="M14" s="107"/>
      <c r="N14" s="1"/>
    </row>
    <row r="15" spans="1:14" x14ac:dyDescent="0.3">
      <c r="A15" s="1"/>
      <c r="B15" s="1"/>
      <c r="C15" s="1"/>
      <c r="D15" s="1"/>
      <c r="E15" s="1"/>
      <c r="F15" s="1"/>
      <c r="G15" s="1"/>
      <c r="H15" s="1"/>
      <c r="I15" s="1"/>
      <c r="J15" s="1"/>
      <c r="K15" s="1"/>
      <c r="L15" s="1"/>
      <c r="M15" s="1"/>
      <c r="N15" s="1"/>
    </row>
    <row r="16" spans="1:14" x14ac:dyDescent="0.3">
      <c r="A16" s="1"/>
      <c r="B16" s="108" t="s">
        <v>16</v>
      </c>
      <c r="C16" s="108"/>
      <c r="D16" s="108"/>
      <c r="E16" s="108"/>
      <c r="F16" s="108"/>
      <c r="G16" s="108"/>
      <c r="H16" s="108"/>
      <c r="I16" s="108"/>
      <c r="J16" s="108"/>
      <c r="K16" s="108"/>
      <c r="L16" s="108"/>
      <c r="M16" s="108"/>
      <c r="N16" s="1"/>
    </row>
    <row r="17" spans="1:14" ht="18" customHeight="1" x14ac:dyDescent="0.3">
      <c r="A17" s="1"/>
      <c r="B17" s="4" t="s">
        <v>17</v>
      </c>
      <c r="C17" s="5" t="s">
        <v>18</v>
      </c>
      <c r="D17" s="4" t="s">
        <v>19</v>
      </c>
      <c r="E17" s="1"/>
      <c r="F17" s="1"/>
      <c r="G17" s="1"/>
      <c r="H17" s="1"/>
      <c r="I17" s="1"/>
      <c r="J17" s="1"/>
      <c r="K17" s="1"/>
      <c r="L17" s="1"/>
      <c r="M17" s="1"/>
      <c r="N17" s="1"/>
    </row>
    <row r="18" spans="1:14" ht="18" customHeight="1" x14ac:dyDescent="0.3">
      <c r="A18" s="1"/>
      <c r="B18" s="4" t="s">
        <v>20</v>
      </c>
      <c r="C18" s="5" t="s">
        <v>21</v>
      </c>
      <c r="D18" s="4" t="s">
        <v>22</v>
      </c>
      <c r="E18" s="1"/>
      <c r="F18" s="1"/>
      <c r="G18" s="1"/>
      <c r="H18" s="1"/>
      <c r="I18" s="1"/>
      <c r="J18" s="1"/>
      <c r="K18" s="1"/>
      <c r="L18" s="1"/>
      <c r="M18" s="1"/>
      <c r="N18" s="1"/>
    </row>
    <row r="19" spans="1:14" ht="18" customHeight="1" x14ac:dyDescent="0.3">
      <c r="A19" s="1"/>
      <c r="B19" s="4" t="s">
        <v>23</v>
      </c>
      <c r="C19" s="5" t="s">
        <v>24</v>
      </c>
      <c r="D19" s="4" t="s">
        <v>25</v>
      </c>
      <c r="E19" s="1"/>
      <c r="F19" s="1"/>
      <c r="G19" s="1"/>
      <c r="H19" s="1"/>
      <c r="I19" s="1"/>
      <c r="J19" s="1"/>
      <c r="K19" s="1"/>
      <c r="L19" s="1"/>
      <c r="M19" s="1"/>
      <c r="N19" s="1"/>
    </row>
    <row r="20" spans="1:14" ht="18" customHeight="1" x14ac:dyDescent="0.3">
      <c r="A20" s="1"/>
      <c r="B20" s="4" t="s">
        <v>26</v>
      </c>
      <c r="C20" s="5" t="s">
        <v>27</v>
      </c>
      <c r="D20" s="4" t="s">
        <v>28</v>
      </c>
      <c r="E20" s="1"/>
      <c r="F20" s="1"/>
      <c r="G20" s="1"/>
      <c r="H20" s="1"/>
      <c r="I20" s="1"/>
      <c r="J20" s="1"/>
      <c r="K20" s="1"/>
      <c r="L20" s="1"/>
      <c r="M20" s="1"/>
      <c r="N20" s="1"/>
    </row>
    <row r="21" spans="1:14" ht="18" customHeight="1" x14ac:dyDescent="0.3">
      <c r="A21" s="1"/>
      <c r="B21" s="4" t="s">
        <v>29</v>
      </c>
      <c r="C21" s="5" t="s">
        <v>30</v>
      </c>
      <c r="D21" s="4" t="s">
        <v>31</v>
      </c>
      <c r="E21" s="1"/>
      <c r="F21" s="1"/>
      <c r="G21" s="1"/>
      <c r="H21" s="1"/>
      <c r="I21" s="1"/>
      <c r="J21" s="1"/>
      <c r="K21" s="1"/>
      <c r="L21" s="1"/>
      <c r="M21" s="1"/>
      <c r="N21" s="1"/>
    </row>
    <row r="22" spans="1:14" ht="18" customHeight="1" x14ac:dyDescent="0.3">
      <c r="A22" s="1"/>
      <c r="B22" s="4" t="s">
        <v>32</v>
      </c>
      <c r="C22" s="5" t="s">
        <v>33</v>
      </c>
      <c r="D22" s="4" t="s">
        <v>34</v>
      </c>
      <c r="E22" s="1"/>
      <c r="F22" s="1"/>
      <c r="G22" s="1"/>
      <c r="H22" s="1"/>
      <c r="I22" s="1"/>
      <c r="J22" s="1"/>
      <c r="K22" s="1"/>
      <c r="L22" s="1"/>
      <c r="M22" s="1"/>
      <c r="N22" s="1"/>
    </row>
    <row r="23" spans="1:14" ht="18" customHeight="1" x14ac:dyDescent="0.3">
      <c r="A23" s="1"/>
      <c r="B23" s="4" t="s">
        <v>35</v>
      </c>
      <c r="C23" s="5" t="s">
        <v>36</v>
      </c>
      <c r="D23" s="4" t="s">
        <v>37</v>
      </c>
      <c r="E23" s="1"/>
      <c r="F23" s="1"/>
      <c r="G23" s="1"/>
      <c r="H23" s="1"/>
      <c r="I23" s="1"/>
      <c r="J23" s="1"/>
      <c r="K23" s="1"/>
      <c r="L23" s="1"/>
      <c r="M23" s="1"/>
      <c r="N23" s="1"/>
    </row>
    <row r="24" spans="1:14" ht="18" customHeight="1" x14ac:dyDescent="0.3">
      <c r="A24" s="1"/>
      <c r="B24" s="4" t="s">
        <v>38</v>
      </c>
      <c r="C24" s="5" t="s">
        <v>39</v>
      </c>
      <c r="D24" s="4" t="s">
        <v>40</v>
      </c>
      <c r="E24" s="1"/>
      <c r="F24" s="1"/>
      <c r="G24" s="1"/>
      <c r="H24" s="1"/>
      <c r="I24" s="1"/>
      <c r="J24" s="1"/>
      <c r="K24" s="1"/>
      <c r="L24" s="1"/>
      <c r="M24" s="1"/>
      <c r="N24" s="1"/>
    </row>
    <row r="25" spans="1:14" ht="18" customHeight="1" x14ac:dyDescent="0.3">
      <c r="A25" s="1"/>
      <c r="B25" s="4" t="s">
        <v>41</v>
      </c>
      <c r="C25" s="5" t="s">
        <v>42</v>
      </c>
      <c r="D25" s="4" t="s">
        <v>43</v>
      </c>
      <c r="E25" s="1"/>
      <c r="F25" s="1"/>
      <c r="G25" s="1"/>
      <c r="H25" s="1"/>
      <c r="I25" s="1"/>
      <c r="J25" s="1"/>
      <c r="K25" s="1"/>
      <c r="L25" s="1"/>
      <c r="M25" s="1"/>
      <c r="N25" s="1"/>
    </row>
    <row r="26" spans="1:14" ht="18" customHeight="1" x14ac:dyDescent="0.3">
      <c r="A26" s="1"/>
      <c r="B26" s="4" t="s">
        <v>44</v>
      </c>
      <c r="C26" s="5" t="s">
        <v>45</v>
      </c>
      <c r="D26" s="4" t="s">
        <v>46</v>
      </c>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row r="28" spans="1:14" x14ac:dyDescent="0.3">
      <c r="A28" s="1"/>
      <c r="B28" s="108" t="s">
        <v>47</v>
      </c>
      <c r="C28" s="108"/>
      <c r="D28" s="108"/>
      <c r="E28" s="108"/>
      <c r="F28" s="108"/>
      <c r="G28" s="108"/>
      <c r="H28" s="108"/>
      <c r="I28" s="108"/>
      <c r="J28" s="108"/>
      <c r="K28" s="108"/>
      <c r="L28" s="108"/>
      <c r="M28" s="108"/>
      <c r="N28" s="1"/>
    </row>
    <row r="29" spans="1:14" ht="18" customHeight="1" x14ac:dyDescent="0.3">
      <c r="A29" s="1"/>
      <c r="B29" s="6" t="s">
        <v>48</v>
      </c>
      <c r="C29" s="7" t="s">
        <v>49</v>
      </c>
      <c r="D29" s="109" t="s">
        <v>50</v>
      </c>
      <c r="E29" s="109"/>
      <c r="F29" s="109"/>
      <c r="G29" s="109"/>
      <c r="H29" s="109"/>
      <c r="I29" s="109"/>
      <c r="J29" s="109"/>
      <c r="K29" s="109"/>
      <c r="L29" s="109"/>
      <c r="M29" s="109"/>
      <c r="N29" s="1"/>
    </row>
    <row r="30" spans="1:14" ht="18" customHeight="1" x14ac:dyDescent="0.3">
      <c r="A30" s="1"/>
      <c r="B30" s="8" t="s">
        <v>48</v>
      </c>
      <c r="C30" s="9" t="s">
        <v>51</v>
      </c>
      <c r="D30" s="109" t="s">
        <v>52</v>
      </c>
      <c r="E30" s="109"/>
      <c r="F30" s="109"/>
      <c r="G30" s="109"/>
      <c r="H30" s="109"/>
      <c r="I30" s="109"/>
      <c r="J30" s="109"/>
      <c r="K30" s="109"/>
      <c r="L30" s="109"/>
      <c r="M30" s="109"/>
      <c r="N30" s="1"/>
    </row>
    <row r="31" spans="1:14" ht="18" customHeight="1" x14ac:dyDescent="0.3">
      <c r="A31" s="1"/>
      <c r="B31" s="10" t="s">
        <v>48</v>
      </c>
      <c r="C31" s="11" t="s">
        <v>53</v>
      </c>
      <c r="D31" s="109" t="s">
        <v>54</v>
      </c>
      <c r="E31" s="109"/>
      <c r="F31" s="109"/>
      <c r="G31" s="109"/>
      <c r="H31" s="109"/>
      <c r="I31" s="109"/>
      <c r="J31" s="109"/>
      <c r="K31" s="109"/>
      <c r="L31" s="109"/>
      <c r="M31" s="109"/>
      <c r="N31" s="1"/>
    </row>
    <row r="32" spans="1:14" ht="18" customHeight="1" x14ac:dyDescent="0.3">
      <c r="A32" s="1"/>
      <c r="B32" s="12" t="s">
        <v>48</v>
      </c>
      <c r="C32" s="13" t="s">
        <v>55</v>
      </c>
      <c r="D32" s="109" t="s">
        <v>56</v>
      </c>
      <c r="E32" s="109"/>
      <c r="F32" s="109"/>
      <c r="G32" s="109"/>
      <c r="H32" s="109"/>
      <c r="I32" s="109"/>
      <c r="J32" s="109"/>
      <c r="K32" s="109"/>
      <c r="L32" s="109"/>
      <c r="M32" s="109"/>
      <c r="N32" s="1"/>
    </row>
    <row r="33" spans="1:14" ht="18" customHeight="1" x14ac:dyDescent="0.3">
      <c r="A33" s="1"/>
      <c r="B33" s="14" t="s">
        <v>48</v>
      </c>
      <c r="C33" s="15" t="s">
        <v>57</v>
      </c>
      <c r="D33" s="109" t="s">
        <v>58</v>
      </c>
      <c r="E33" s="109"/>
      <c r="F33" s="109"/>
      <c r="G33" s="109"/>
      <c r="H33" s="109"/>
      <c r="I33" s="109"/>
      <c r="J33" s="109"/>
      <c r="K33" s="109"/>
      <c r="L33" s="109"/>
      <c r="M33" s="109"/>
      <c r="N33" s="1"/>
    </row>
    <row r="34" spans="1:14" ht="18" customHeight="1" x14ac:dyDescent="0.3">
      <c r="A34" s="1"/>
      <c r="B34" s="16" t="s">
        <v>48</v>
      </c>
      <c r="C34" s="17" t="s">
        <v>59</v>
      </c>
      <c r="D34" s="109" t="s">
        <v>60</v>
      </c>
      <c r="E34" s="109"/>
      <c r="F34" s="109"/>
      <c r="G34" s="109"/>
      <c r="H34" s="109"/>
      <c r="I34" s="109"/>
      <c r="J34" s="109"/>
      <c r="K34" s="109"/>
      <c r="L34" s="109"/>
      <c r="M34" s="109"/>
      <c r="N34" s="1"/>
    </row>
    <row r="35" spans="1:14" ht="18" customHeight="1" x14ac:dyDescent="0.3">
      <c r="A35" s="1"/>
      <c r="B35" s="18" t="s">
        <v>48</v>
      </c>
      <c r="C35" s="19" t="s">
        <v>61</v>
      </c>
      <c r="D35" s="109" t="s">
        <v>62</v>
      </c>
      <c r="E35" s="109"/>
      <c r="F35" s="109"/>
      <c r="G35" s="109"/>
      <c r="H35" s="109"/>
      <c r="I35" s="109"/>
      <c r="J35" s="109"/>
      <c r="K35" s="109"/>
      <c r="L35" s="109"/>
      <c r="M35" s="109"/>
      <c r="N35" s="1"/>
    </row>
    <row r="36" spans="1:14" ht="18" customHeight="1" x14ac:dyDescent="0.3">
      <c r="A36" s="1"/>
      <c r="B36" s="20" t="s">
        <v>48</v>
      </c>
      <c r="C36" s="21" t="s">
        <v>63</v>
      </c>
      <c r="D36" s="109" t="s">
        <v>64</v>
      </c>
      <c r="E36" s="109"/>
      <c r="F36" s="109"/>
      <c r="G36" s="109"/>
      <c r="H36" s="109"/>
      <c r="I36" s="109"/>
      <c r="J36" s="109"/>
      <c r="K36" s="109"/>
      <c r="L36" s="109"/>
      <c r="M36" s="109"/>
      <c r="N36" s="1"/>
    </row>
    <row r="37" spans="1:14" ht="18" customHeight="1" x14ac:dyDescent="0.3">
      <c r="A37" s="1"/>
      <c r="B37" s="22" t="s">
        <v>48</v>
      </c>
      <c r="C37" s="23" t="s">
        <v>65</v>
      </c>
      <c r="D37" s="109" t="s">
        <v>66</v>
      </c>
      <c r="E37" s="109"/>
      <c r="F37" s="109"/>
      <c r="G37" s="109"/>
      <c r="H37" s="109"/>
      <c r="I37" s="109"/>
      <c r="J37" s="109"/>
      <c r="K37" s="109"/>
      <c r="L37" s="109"/>
      <c r="M37" s="109"/>
      <c r="N37" s="1"/>
    </row>
    <row r="38" spans="1:14" x14ac:dyDescent="0.3">
      <c r="A38" s="1"/>
      <c r="B38" s="1"/>
      <c r="C38" s="1"/>
      <c r="D38" s="1"/>
      <c r="E38" s="1"/>
      <c r="F38" s="1"/>
      <c r="G38" s="1"/>
      <c r="H38" s="1"/>
      <c r="I38" s="1"/>
      <c r="J38" s="1"/>
      <c r="K38" s="1"/>
      <c r="L38" s="1"/>
      <c r="M38" s="1"/>
      <c r="N38" s="1"/>
    </row>
    <row r="39" spans="1:14" x14ac:dyDescent="0.3">
      <c r="A39" s="1"/>
      <c r="B39" s="1"/>
      <c r="C39" s="1"/>
      <c r="D39" s="1"/>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
      <c r="C42" s="1"/>
      <c r="D42" s="1"/>
      <c r="E42" s="1"/>
      <c r="F42" s="1"/>
      <c r="G42" s="1"/>
      <c r="H42" s="1"/>
      <c r="I42" s="1"/>
      <c r="J42" s="1"/>
      <c r="K42" s="1"/>
      <c r="L42" s="1"/>
      <c r="M42" s="1"/>
      <c r="N42" s="1"/>
    </row>
    <row r="43" spans="1:14" x14ac:dyDescent="0.3">
      <c r="A43" s="1"/>
      <c r="B43" s="1"/>
      <c r="C43" s="1"/>
      <c r="D43" s="1"/>
      <c r="E43" s="1"/>
      <c r="F43" s="1"/>
      <c r="G43" s="1"/>
      <c r="H43" s="1"/>
      <c r="I43" s="1"/>
      <c r="J43" s="1"/>
      <c r="K43" s="1"/>
      <c r="L43" s="1"/>
      <c r="M43" s="1"/>
      <c r="N43" s="1"/>
    </row>
    <row r="44" spans="1:14" x14ac:dyDescent="0.3">
      <c r="A44" s="1"/>
      <c r="B44" s="1"/>
      <c r="C44" s="1"/>
      <c r="D44" s="1"/>
      <c r="E44" s="1"/>
      <c r="F44" s="1"/>
      <c r="G44" s="1"/>
      <c r="H44" s="1"/>
      <c r="I44" s="1"/>
      <c r="J44" s="1"/>
      <c r="K44" s="1"/>
      <c r="L44" s="1"/>
      <c r="M44" s="1"/>
      <c r="N44" s="1"/>
    </row>
    <row r="45" spans="1:14" x14ac:dyDescent="0.3">
      <c r="A45" s="1"/>
      <c r="B45" s="1"/>
      <c r="C45" s="1"/>
      <c r="D45" s="1"/>
      <c r="E45" s="1"/>
      <c r="F45" s="1"/>
      <c r="G45" s="1"/>
      <c r="H45" s="1"/>
      <c r="I45" s="1"/>
      <c r="J45" s="1"/>
      <c r="K45" s="1"/>
      <c r="L45" s="1"/>
      <c r="M45" s="1"/>
      <c r="N45" s="1"/>
    </row>
    <row r="46" spans="1:14" x14ac:dyDescent="0.3">
      <c r="A46" s="1"/>
      <c r="B46" s="1"/>
      <c r="C46" s="1"/>
      <c r="D46" s="1"/>
      <c r="E46" s="1"/>
      <c r="F46" s="1"/>
      <c r="G46" s="1"/>
      <c r="H46" s="1"/>
      <c r="I46" s="1"/>
      <c r="J46" s="1"/>
      <c r="K46" s="1"/>
      <c r="L46" s="1"/>
      <c r="M46" s="1"/>
      <c r="N46" s="1"/>
    </row>
    <row r="47" spans="1:14" x14ac:dyDescent="0.3">
      <c r="A47" s="1"/>
      <c r="B47" s="1"/>
      <c r="C47" s="1"/>
      <c r="D47" s="1"/>
      <c r="E47" s="1"/>
      <c r="F47" s="1"/>
      <c r="G47" s="1"/>
      <c r="H47" s="1"/>
      <c r="I47" s="1"/>
      <c r="J47" s="1"/>
      <c r="K47" s="1"/>
      <c r="L47" s="1"/>
      <c r="M47" s="1"/>
      <c r="N47" s="1"/>
    </row>
    <row r="48" spans="1:14" x14ac:dyDescent="0.3">
      <c r="A48" s="1"/>
      <c r="B48" s="1"/>
      <c r="C48" s="1"/>
      <c r="D48" s="1"/>
      <c r="E48" s="1"/>
      <c r="F48" s="1"/>
      <c r="G48" s="1"/>
      <c r="H48" s="1"/>
      <c r="I48" s="1"/>
      <c r="J48" s="1"/>
      <c r="K48" s="1"/>
      <c r="L48" s="1"/>
      <c r="M48" s="1"/>
      <c r="N48" s="1"/>
    </row>
    <row r="49" spans="1:14" x14ac:dyDescent="0.3">
      <c r="A49" s="1"/>
      <c r="B49" s="1"/>
      <c r="C49" s="1"/>
      <c r="D49" s="1"/>
      <c r="E49" s="1"/>
      <c r="F49" s="1"/>
      <c r="G49" s="1"/>
      <c r="H49" s="1"/>
      <c r="I49" s="1"/>
      <c r="J49" s="1"/>
      <c r="K49" s="1"/>
      <c r="L49" s="1"/>
      <c r="M49" s="1"/>
      <c r="N49" s="1"/>
    </row>
    <row r="50" spans="1:14" x14ac:dyDescent="0.3">
      <c r="A50" s="1"/>
      <c r="B50" s="1"/>
      <c r="C50" s="1"/>
      <c r="D50" s="1"/>
      <c r="E50" s="1"/>
      <c r="F50" s="1"/>
      <c r="G50" s="1"/>
      <c r="H50" s="1"/>
      <c r="I50" s="1"/>
      <c r="J50" s="1"/>
      <c r="K50" s="1"/>
      <c r="L50" s="1"/>
      <c r="M50" s="1"/>
      <c r="N50" s="1"/>
    </row>
    <row r="51" spans="1:14" x14ac:dyDescent="0.3">
      <c r="A51" s="1"/>
      <c r="B51" s="1"/>
      <c r="C51" s="1"/>
      <c r="D51" s="1"/>
      <c r="E51" s="1"/>
      <c r="F51" s="1"/>
      <c r="G51" s="1"/>
      <c r="H51" s="1"/>
      <c r="I51" s="1"/>
      <c r="J51" s="1"/>
      <c r="K51" s="1"/>
      <c r="L51" s="1"/>
      <c r="M51" s="1"/>
      <c r="N51" s="1"/>
    </row>
    <row r="52" spans="1:14" x14ac:dyDescent="0.3">
      <c r="A52" s="1"/>
      <c r="B52" s="1"/>
      <c r="C52" s="1"/>
      <c r="D52" s="1"/>
      <c r="E52" s="1"/>
      <c r="F52" s="1"/>
      <c r="G52" s="1"/>
      <c r="H52" s="1"/>
      <c r="I52" s="1"/>
      <c r="J52" s="1"/>
      <c r="K52" s="1"/>
      <c r="L52" s="1"/>
      <c r="M52" s="1"/>
      <c r="N52" s="1"/>
    </row>
    <row r="53" spans="1:14" x14ac:dyDescent="0.3">
      <c r="A53" s="1"/>
      <c r="B53" s="1"/>
      <c r="C53" s="1"/>
      <c r="D53" s="1"/>
      <c r="E53" s="1"/>
      <c r="F53" s="1"/>
      <c r="G53" s="1"/>
      <c r="H53" s="1"/>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1"/>
      <c r="C55" s="1"/>
      <c r="D55" s="1"/>
      <c r="E55" s="1"/>
      <c r="F55" s="1"/>
      <c r="G55" s="1"/>
      <c r="H55" s="1"/>
      <c r="I55" s="1"/>
      <c r="J55" s="1"/>
      <c r="K55" s="1"/>
      <c r="L55" s="1"/>
      <c r="M55" s="1"/>
      <c r="N55" s="1"/>
    </row>
    <row r="56" spans="1:14" x14ac:dyDescent="0.3">
      <c r="A56" s="1"/>
      <c r="B56" s="1"/>
      <c r="C56" s="1"/>
      <c r="D56" s="1"/>
      <c r="E56" s="1"/>
      <c r="F56" s="1"/>
      <c r="G56" s="1"/>
      <c r="H56" s="1"/>
      <c r="I56" s="1"/>
      <c r="J56" s="1"/>
      <c r="K56" s="1"/>
      <c r="L56" s="1"/>
      <c r="M56" s="1"/>
      <c r="N56" s="1"/>
    </row>
    <row r="57" spans="1:14" x14ac:dyDescent="0.3">
      <c r="A57" s="1"/>
      <c r="B57" s="1"/>
      <c r="C57" s="1"/>
      <c r="D57" s="1"/>
      <c r="E57" s="1"/>
      <c r="F57" s="1"/>
      <c r="G57" s="1"/>
      <c r="H57" s="1"/>
      <c r="I57" s="1"/>
      <c r="J57" s="1"/>
      <c r="K57" s="1"/>
      <c r="L57" s="1"/>
      <c r="M57" s="1"/>
      <c r="N57" s="1"/>
    </row>
    <row r="58" spans="1:14" x14ac:dyDescent="0.3">
      <c r="A58" s="1"/>
      <c r="B58" s="1"/>
      <c r="C58" s="1"/>
      <c r="D58" s="1"/>
      <c r="E58" s="1"/>
      <c r="F58" s="1"/>
      <c r="G58" s="1"/>
      <c r="H58" s="1"/>
      <c r="I58" s="1"/>
      <c r="J58" s="1"/>
      <c r="K58" s="1"/>
      <c r="L58" s="1"/>
      <c r="M58" s="1"/>
      <c r="N58" s="1"/>
    </row>
    <row r="59" spans="1:14" x14ac:dyDescent="0.3">
      <c r="A59" s="1"/>
      <c r="B59" s="1"/>
      <c r="C59" s="1"/>
      <c r="D59" s="1"/>
      <c r="E59" s="1"/>
      <c r="F59" s="1"/>
      <c r="G59" s="1"/>
      <c r="H59" s="1"/>
      <c r="I59" s="1"/>
      <c r="J59" s="1"/>
      <c r="K59" s="1"/>
      <c r="L59" s="1"/>
      <c r="M59" s="1"/>
      <c r="N59" s="1"/>
    </row>
    <row r="60" spans="1:14" x14ac:dyDescent="0.3">
      <c r="A60" s="1"/>
      <c r="B60" s="1"/>
      <c r="C60" s="1"/>
      <c r="D60" s="1"/>
      <c r="E60" s="1"/>
      <c r="F60" s="1"/>
      <c r="G60" s="1"/>
      <c r="H60" s="1"/>
      <c r="I60" s="1"/>
      <c r="J60" s="1"/>
      <c r="K60" s="1"/>
      <c r="L60" s="1"/>
      <c r="M60" s="1"/>
      <c r="N60" s="1"/>
    </row>
  </sheetData>
  <mergeCells count="21">
    <mergeCell ref="D37:M37"/>
    <mergeCell ref="D32:M32"/>
    <mergeCell ref="D33:M33"/>
    <mergeCell ref="D34:M34"/>
    <mergeCell ref="D35:M35"/>
    <mergeCell ref="D36:M36"/>
    <mergeCell ref="B16:M16"/>
    <mergeCell ref="B28:M28"/>
    <mergeCell ref="D29:M29"/>
    <mergeCell ref="D30:M30"/>
    <mergeCell ref="D31:M31"/>
    <mergeCell ref="C10:M10"/>
    <mergeCell ref="C11:M11"/>
    <mergeCell ref="C12:M12"/>
    <mergeCell ref="C13:M13"/>
    <mergeCell ref="C14:M14"/>
    <mergeCell ref="B2:M3"/>
    <mergeCell ref="B4:M4"/>
    <mergeCell ref="B5:M5"/>
    <mergeCell ref="B8:M8"/>
    <mergeCell ref="C9:M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5BB8"/>
  </sheetPr>
  <dimension ref="A1:N17"/>
  <sheetViews>
    <sheetView showGridLines="0" workbookViewId="0">
      <pane xSplit="2" ySplit="4" topLeftCell="C5" activePane="bottomRight" state="frozen"/>
      <selection pane="topRight" activeCell="C1" sqref="C1"/>
      <selection pane="bottomLeft" activeCell="A5" sqref="A5"/>
      <selection pane="bottomRight" activeCell="D41" sqref="D41"/>
    </sheetView>
  </sheetViews>
  <sheetFormatPr defaultColWidth="8.6640625" defaultRowHeight="14.4" x14ac:dyDescent="0.3"/>
  <cols>
    <col min="1" max="1" width="4" customWidth="1"/>
    <col min="2" max="2" width="14" customWidth="1"/>
    <col min="3" max="3" width="28" customWidth="1"/>
    <col min="4" max="4" width="22.5546875" customWidth="1"/>
    <col min="5" max="5" width="18" customWidth="1"/>
    <col min="6" max="6" width="13" customWidth="1"/>
    <col min="7" max="7" width="16" customWidth="1"/>
    <col min="8" max="8" width="14" customWidth="1"/>
    <col min="9" max="9" width="12" customWidth="1"/>
    <col min="10" max="10" width="15" customWidth="1"/>
    <col min="11" max="11" width="20" customWidth="1"/>
    <col min="12" max="12" width="13" customWidth="1"/>
    <col min="13" max="13" width="28" customWidth="1"/>
    <col min="14" max="14" width="14" customWidth="1"/>
  </cols>
  <sheetData>
    <row r="1" spans="1:14" ht="19.5" customHeight="1" x14ac:dyDescent="0.3">
      <c r="A1" s="97" t="s">
        <v>67</v>
      </c>
      <c r="B1" s="97"/>
      <c r="C1" s="97"/>
      <c r="D1" s="97"/>
      <c r="E1" s="97"/>
      <c r="F1" s="97"/>
      <c r="G1" s="97"/>
      <c r="H1" s="97"/>
      <c r="I1" s="97"/>
      <c r="J1" s="97"/>
      <c r="K1" s="97"/>
      <c r="L1" s="97"/>
      <c r="M1" s="97"/>
      <c r="N1" s="97"/>
    </row>
    <row r="2" spans="1:14" ht="19.5" customHeight="1" x14ac:dyDescent="0.3">
      <c r="A2" s="97"/>
      <c r="B2" s="97"/>
      <c r="C2" s="97"/>
      <c r="D2" s="97"/>
      <c r="E2" s="97"/>
      <c r="F2" s="97"/>
      <c r="G2" s="97"/>
      <c r="H2" s="97"/>
      <c r="I2" s="97"/>
      <c r="J2" s="97"/>
      <c r="K2" s="97"/>
      <c r="L2" s="97"/>
      <c r="M2" s="97"/>
      <c r="N2" s="97"/>
    </row>
    <row r="3" spans="1:14" ht="15.75" customHeight="1" x14ac:dyDescent="0.3">
      <c r="A3" s="98" t="s">
        <v>68</v>
      </c>
      <c r="B3" s="98"/>
      <c r="C3" s="98"/>
      <c r="D3" s="98"/>
      <c r="E3" s="98"/>
      <c r="F3" s="98"/>
      <c r="G3" s="98"/>
      <c r="H3" s="98"/>
      <c r="I3" s="98"/>
      <c r="J3" s="98"/>
      <c r="K3" s="98"/>
      <c r="L3" s="98"/>
      <c r="M3" s="98"/>
      <c r="N3" s="98"/>
    </row>
    <row r="4" spans="1:14" ht="36" customHeight="1" x14ac:dyDescent="0.3">
      <c r="A4" s="24" t="s">
        <v>69</v>
      </c>
      <c r="B4" s="24" t="s">
        <v>70</v>
      </c>
      <c r="C4" s="24" t="s">
        <v>71</v>
      </c>
      <c r="D4" s="24" t="s">
        <v>72</v>
      </c>
      <c r="E4" s="24" t="s">
        <v>73</v>
      </c>
      <c r="F4" s="24" t="s">
        <v>74</v>
      </c>
      <c r="G4" s="24" t="s">
        <v>75</v>
      </c>
      <c r="H4" s="24" t="s">
        <v>76</v>
      </c>
      <c r="I4" s="24" t="s">
        <v>77</v>
      </c>
      <c r="J4" s="24" t="s">
        <v>78</v>
      </c>
      <c r="K4" s="24" t="s">
        <v>79</v>
      </c>
      <c r="L4" s="24" t="s">
        <v>80</v>
      </c>
      <c r="M4" s="24" t="s">
        <v>81</v>
      </c>
      <c r="N4" s="24" t="s">
        <v>82</v>
      </c>
    </row>
    <row r="5" spans="1:14" ht="19.5" customHeight="1" x14ac:dyDescent="0.3">
      <c r="A5" s="25">
        <v>1</v>
      </c>
      <c r="B5" s="26" t="s">
        <v>83</v>
      </c>
      <c r="C5" s="27" t="s">
        <v>84</v>
      </c>
      <c r="D5" s="28" t="s">
        <v>85</v>
      </c>
      <c r="E5" s="29" t="s">
        <v>86</v>
      </c>
      <c r="F5" s="30" t="s">
        <v>87</v>
      </c>
      <c r="G5" s="31">
        <v>0.6</v>
      </c>
      <c r="H5" s="31">
        <v>1</v>
      </c>
      <c r="I5" s="32" t="s">
        <v>88</v>
      </c>
      <c r="J5" s="4" t="s">
        <v>89</v>
      </c>
      <c r="K5" s="4" t="s">
        <v>90</v>
      </c>
      <c r="L5" s="30" t="s">
        <v>91</v>
      </c>
      <c r="M5" s="4" t="s">
        <v>92</v>
      </c>
      <c r="N5" s="30" t="s">
        <v>93</v>
      </c>
    </row>
    <row r="6" spans="1:14" ht="19.5" customHeight="1" x14ac:dyDescent="0.3">
      <c r="A6" s="25">
        <v>2</v>
      </c>
      <c r="B6" s="26" t="s">
        <v>94</v>
      </c>
      <c r="C6" s="33" t="s">
        <v>94</v>
      </c>
      <c r="D6" s="34" t="s">
        <v>95</v>
      </c>
      <c r="E6" s="35" t="s">
        <v>96</v>
      </c>
      <c r="F6" s="30" t="s">
        <v>97</v>
      </c>
      <c r="G6" s="31">
        <v>1.6</v>
      </c>
      <c r="H6" s="31">
        <v>2</v>
      </c>
      <c r="I6" s="32" t="s">
        <v>88</v>
      </c>
      <c r="J6" s="36" t="s">
        <v>98</v>
      </c>
      <c r="K6" s="36" t="s">
        <v>90</v>
      </c>
      <c r="L6" s="30" t="s">
        <v>91</v>
      </c>
      <c r="M6" s="36" t="s">
        <v>92</v>
      </c>
      <c r="N6" s="30" t="s">
        <v>93</v>
      </c>
    </row>
    <row r="7" spans="1:14" ht="19.5" customHeight="1" x14ac:dyDescent="0.3">
      <c r="A7" s="25">
        <v>3</v>
      </c>
      <c r="B7" s="26" t="s">
        <v>99</v>
      </c>
      <c r="C7" s="27" t="s">
        <v>100</v>
      </c>
      <c r="D7" s="37" t="s">
        <v>101</v>
      </c>
      <c r="E7" s="38" t="s">
        <v>102</v>
      </c>
      <c r="F7" s="30" t="s">
        <v>103</v>
      </c>
      <c r="G7" s="31">
        <v>4.2</v>
      </c>
      <c r="H7" s="31">
        <v>3</v>
      </c>
      <c r="I7" s="32" t="s">
        <v>88</v>
      </c>
      <c r="J7" s="4" t="s">
        <v>104</v>
      </c>
      <c r="K7" s="4" t="s">
        <v>105</v>
      </c>
      <c r="L7" s="30" t="s">
        <v>91</v>
      </c>
      <c r="M7" s="4" t="s">
        <v>92</v>
      </c>
      <c r="N7" s="30" t="s">
        <v>93</v>
      </c>
    </row>
    <row r="8" spans="1:14" ht="19.5" customHeight="1" x14ac:dyDescent="0.3">
      <c r="A8" s="25">
        <v>4</v>
      </c>
      <c r="B8" s="26" t="s">
        <v>106</v>
      </c>
      <c r="C8" s="33" t="s">
        <v>107</v>
      </c>
      <c r="D8" s="39" t="s">
        <v>108</v>
      </c>
      <c r="E8" s="40" t="s">
        <v>109</v>
      </c>
      <c r="F8" s="30" t="s">
        <v>110</v>
      </c>
      <c r="G8" s="31">
        <v>2.4</v>
      </c>
      <c r="H8" s="31">
        <v>4</v>
      </c>
      <c r="I8" s="32" t="s">
        <v>88</v>
      </c>
      <c r="J8" s="36" t="s">
        <v>89</v>
      </c>
      <c r="K8" s="36" t="s">
        <v>111</v>
      </c>
      <c r="L8" s="30" t="s">
        <v>91</v>
      </c>
      <c r="M8" s="36" t="s">
        <v>92</v>
      </c>
      <c r="N8" s="30" t="s">
        <v>93</v>
      </c>
    </row>
    <row r="9" spans="1:14" ht="19.5" customHeight="1" x14ac:dyDescent="0.3">
      <c r="A9" s="25">
        <v>5</v>
      </c>
      <c r="B9" s="26" t="s">
        <v>112</v>
      </c>
      <c r="C9" s="27" t="s">
        <v>113</v>
      </c>
      <c r="D9" s="28" t="s">
        <v>85</v>
      </c>
      <c r="E9" s="29" t="s">
        <v>86</v>
      </c>
      <c r="F9" s="30" t="s">
        <v>87</v>
      </c>
      <c r="G9" s="31">
        <v>0.5</v>
      </c>
      <c r="H9" s="31">
        <v>5</v>
      </c>
      <c r="I9" s="32" t="s">
        <v>88</v>
      </c>
      <c r="J9" s="4" t="s">
        <v>114</v>
      </c>
      <c r="K9" s="4" t="s">
        <v>115</v>
      </c>
      <c r="L9" s="30" t="s">
        <v>91</v>
      </c>
      <c r="M9" s="4" t="s">
        <v>92</v>
      </c>
      <c r="N9" s="30" t="s">
        <v>93</v>
      </c>
    </row>
    <row r="10" spans="1:14" ht="19.5" customHeight="1" x14ac:dyDescent="0.3">
      <c r="A10" s="25">
        <v>6</v>
      </c>
      <c r="B10" s="26" t="s">
        <v>116</v>
      </c>
      <c r="C10" s="33" t="s">
        <v>117</v>
      </c>
      <c r="D10" s="39" t="s">
        <v>108</v>
      </c>
      <c r="E10" s="40" t="s">
        <v>109</v>
      </c>
      <c r="F10" s="30" t="s">
        <v>110</v>
      </c>
      <c r="G10" s="31">
        <v>2.1</v>
      </c>
      <c r="H10" s="31">
        <v>6</v>
      </c>
      <c r="I10" s="32" t="s">
        <v>88</v>
      </c>
      <c r="J10" s="36" t="s">
        <v>118</v>
      </c>
      <c r="K10" s="36" t="s">
        <v>119</v>
      </c>
      <c r="L10" s="30" t="s">
        <v>91</v>
      </c>
      <c r="M10" s="36" t="s">
        <v>92</v>
      </c>
      <c r="N10" s="30" t="s">
        <v>93</v>
      </c>
    </row>
    <row r="11" spans="1:14" ht="19.5" customHeight="1" x14ac:dyDescent="0.3">
      <c r="A11" s="25">
        <v>7</v>
      </c>
      <c r="B11" s="26" t="s">
        <v>120</v>
      </c>
      <c r="C11" s="27" t="s">
        <v>121</v>
      </c>
      <c r="D11" s="37" t="s">
        <v>101</v>
      </c>
      <c r="E11" s="38" t="s">
        <v>102</v>
      </c>
      <c r="F11" s="30" t="s">
        <v>103</v>
      </c>
      <c r="G11" s="31">
        <v>3.5</v>
      </c>
      <c r="H11" s="31">
        <v>7</v>
      </c>
      <c r="I11" s="32" t="s">
        <v>88</v>
      </c>
      <c r="J11" s="4" t="s">
        <v>122</v>
      </c>
      <c r="K11" s="4" t="s">
        <v>123</v>
      </c>
      <c r="L11" s="30" t="s">
        <v>91</v>
      </c>
      <c r="M11" s="4" t="s">
        <v>92</v>
      </c>
      <c r="N11" s="30" t="s">
        <v>93</v>
      </c>
    </row>
    <row r="12" spans="1:14" ht="19.5" customHeight="1" x14ac:dyDescent="0.3">
      <c r="A12" s="25">
        <v>8</v>
      </c>
      <c r="B12" s="26" t="s">
        <v>124</v>
      </c>
      <c r="C12" s="33" t="s">
        <v>125</v>
      </c>
      <c r="D12" s="39" t="s">
        <v>108</v>
      </c>
      <c r="E12" s="40" t="s">
        <v>109</v>
      </c>
      <c r="F12" s="30" t="s">
        <v>110</v>
      </c>
      <c r="G12" s="31">
        <v>1.8</v>
      </c>
      <c r="H12" s="31">
        <v>8</v>
      </c>
      <c r="I12" s="32" t="s">
        <v>88</v>
      </c>
      <c r="J12" s="36" t="s">
        <v>126</v>
      </c>
      <c r="K12" s="36" t="s">
        <v>127</v>
      </c>
      <c r="L12" s="30" t="s">
        <v>91</v>
      </c>
      <c r="M12" s="36" t="s">
        <v>92</v>
      </c>
      <c r="N12" s="30" t="s">
        <v>93</v>
      </c>
    </row>
    <row r="13" spans="1:14" ht="19.5" customHeight="1" x14ac:dyDescent="0.3">
      <c r="A13" s="25">
        <v>9</v>
      </c>
      <c r="B13" s="26" t="s">
        <v>128</v>
      </c>
      <c r="C13" s="27" t="s">
        <v>129</v>
      </c>
      <c r="D13" s="34" t="s">
        <v>95</v>
      </c>
      <c r="E13" s="35" t="s">
        <v>96</v>
      </c>
      <c r="F13" s="30" t="s">
        <v>97</v>
      </c>
      <c r="G13" s="31">
        <v>1.2</v>
      </c>
      <c r="H13" s="31">
        <v>9</v>
      </c>
      <c r="I13" s="32" t="s">
        <v>88</v>
      </c>
      <c r="J13" s="4" t="s">
        <v>114</v>
      </c>
      <c r="K13" s="4" t="s">
        <v>130</v>
      </c>
      <c r="L13" s="30" t="s">
        <v>91</v>
      </c>
      <c r="M13" s="4" t="s">
        <v>92</v>
      </c>
      <c r="N13" s="30" t="s">
        <v>93</v>
      </c>
    </row>
    <row r="14" spans="1:14" ht="19.5" customHeight="1" x14ac:dyDescent="0.3">
      <c r="A14" s="25">
        <v>10</v>
      </c>
      <c r="B14" s="26" t="s">
        <v>131</v>
      </c>
      <c r="C14" s="33" t="s">
        <v>132</v>
      </c>
      <c r="D14" s="39" t="s">
        <v>108</v>
      </c>
      <c r="E14" s="40" t="s">
        <v>109</v>
      </c>
      <c r="F14" s="30" t="s">
        <v>110</v>
      </c>
      <c r="G14" s="31">
        <v>1.5</v>
      </c>
      <c r="H14" s="31">
        <v>10</v>
      </c>
      <c r="I14" s="32" t="s">
        <v>88</v>
      </c>
      <c r="J14" s="36" t="s">
        <v>133</v>
      </c>
      <c r="K14" s="36" t="s">
        <v>119</v>
      </c>
      <c r="L14" s="30" t="s">
        <v>91</v>
      </c>
      <c r="M14" s="36" t="s">
        <v>92</v>
      </c>
      <c r="N14" s="30" t="s">
        <v>93</v>
      </c>
    </row>
    <row r="15" spans="1:14" ht="19.5" customHeight="1" x14ac:dyDescent="0.3">
      <c r="A15" s="25">
        <v>11</v>
      </c>
      <c r="B15" s="26" t="s">
        <v>134</v>
      </c>
      <c r="C15" s="27" t="s">
        <v>135</v>
      </c>
      <c r="D15" s="39" t="s">
        <v>108</v>
      </c>
      <c r="E15" s="40" t="s">
        <v>109</v>
      </c>
      <c r="F15" s="30" t="s">
        <v>110</v>
      </c>
      <c r="G15" s="31">
        <v>1.5</v>
      </c>
      <c r="H15" s="31">
        <v>11</v>
      </c>
      <c r="I15" s="32" t="s">
        <v>88</v>
      </c>
      <c r="J15" s="4" t="s">
        <v>136</v>
      </c>
      <c r="K15" s="4" t="s">
        <v>137</v>
      </c>
      <c r="L15" s="30" t="s">
        <v>91</v>
      </c>
      <c r="M15" s="4" t="s">
        <v>92</v>
      </c>
      <c r="N15" s="30" t="s">
        <v>93</v>
      </c>
    </row>
    <row r="16" spans="1:14" ht="19.5" customHeight="1" x14ac:dyDescent="0.3">
      <c r="A16" s="94">
        <v>12</v>
      </c>
      <c r="B16" s="95" t="s">
        <v>1024</v>
      </c>
      <c r="C16" s="96" t="s">
        <v>1025</v>
      </c>
      <c r="D16" s="39" t="s">
        <v>108</v>
      </c>
      <c r="E16" s="40" t="s">
        <v>109</v>
      </c>
      <c r="F16" s="30" t="s">
        <v>110</v>
      </c>
      <c r="G16" s="31">
        <v>1.5</v>
      </c>
      <c r="H16" s="31">
        <v>11</v>
      </c>
      <c r="I16" s="32" t="s">
        <v>88</v>
      </c>
      <c r="J16" s="4" t="s">
        <v>136</v>
      </c>
      <c r="K16" s="4" t="s">
        <v>1026</v>
      </c>
      <c r="L16" s="30" t="s">
        <v>91</v>
      </c>
      <c r="M16" s="4" t="s">
        <v>92</v>
      </c>
      <c r="N16" s="30" t="s">
        <v>93</v>
      </c>
    </row>
    <row r="17" spans="1:14" ht="21.75" customHeight="1" x14ac:dyDescent="0.3">
      <c r="A17" s="110" t="s">
        <v>138</v>
      </c>
      <c r="B17" s="110"/>
      <c r="C17" s="110"/>
      <c r="D17" s="110"/>
      <c r="E17" s="110"/>
      <c r="F17" s="110"/>
      <c r="G17" s="41">
        <f>COUNTIF(I5:I15,"Y")</f>
        <v>11</v>
      </c>
      <c r="H17" s="111" t="s">
        <v>139</v>
      </c>
      <c r="I17" s="111"/>
      <c r="J17" s="111"/>
      <c r="K17" s="111"/>
      <c r="L17" s="111"/>
      <c r="M17" s="111"/>
      <c r="N17" s="111"/>
    </row>
  </sheetData>
  <mergeCells count="4">
    <mergeCell ref="A1:N2"/>
    <mergeCell ref="A3:N3"/>
    <mergeCell ref="A17:F17"/>
    <mergeCell ref="H17:N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6B3A"/>
  </sheetPr>
  <dimension ref="A1:P69"/>
  <sheetViews>
    <sheetView showGridLines="0" workbookViewId="0">
      <pane xSplit="2" ySplit="4" topLeftCell="R15" activePane="bottomRight" state="frozen"/>
      <selection pane="topRight" activeCell="C1" sqref="C1"/>
      <selection pane="bottomLeft" activeCell="A5" sqref="A5"/>
      <selection pane="bottomRight" activeCell="G6" sqref="G6"/>
    </sheetView>
  </sheetViews>
  <sheetFormatPr defaultColWidth="8.6640625" defaultRowHeight="14.4" x14ac:dyDescent="0.3"/>
  <cols>
    <col min="1" max="1" width="4" customWidth="1"/>
    <col min="2" max="2" width="18.33203125" customWidth="1"/>
    <col min="3" max="3" width="14" customWidth="1"/>
    <col min="4" max="4" width="8" customWidth="1"/>
    <col min="5" max="5" width="32" customWidth="1"/>
    <col min="6" max="6" width="28" customWidth="1"/>
    <col min="7" max="7" width="52.109375" customWidth="1"/>
    <col min="8" max="8" width="22.5546875" customWidth="1"/>
    <col min="9" max="10" width="30" customWidth="1"/>
    <col min="11" max="11" width="30.44140625" customWidth="1"/>
    <col min="12" max="12" width="24" customWidth="1"/>
    <col min="13" max="14" width="21.109375" customWidth="1"/>
    <col min="15" max="15" width="25.44140625" customWidth="1"/>
    <col min="16" max="16" width="24" customWidth="1"/>
  </cols>
  <sheetData>
    <row r="1" spans="1:16" x14ac:dyDescent="0.3">
      <c r="A1" s="97" t="s">
        <v>140</v>
      </c>
      <c r="B1" s="97"/>
      <c r="C1" s="97"/>
      <c r="D1" s="97"/>
      <c r="E1" s="97"/>
      <c r="F1" s="97"/>
      <c r="G1" s="97"/>
      <c r="H1" s="97"/>
      <c r="I1" s="97"/>
      <c r="J1" s="97"/>
      <c r="K1" s="97"/>
      <c r="L1" s="97"/>
      <c r="M1" s="97"/>
      <c r="N1" s="97"/>
      <c r="O1" s="97"/>
      <c r="P1" s="97"/>
    </row>
    <row r="2" spans="1:16" x14ac:dyDescent="0.3">
      <c r="A2" s="97"/>
      <c r="B2" s="97"/>
      <c r="C2" s="97"/>
      <c r="D2" s="97"/>
      <c r="E2" s="97"/>
      <c r="F2" s="97"/>
      <c r="G2" s="97"/>
      <c r="H2" s="97"/>
      <c r="I2" s="97"/>
      <c r="J2" s="97"/>
      <c r="K2" s="97"/>
      <c r="L2" s="97"/>
      <c r="M2" s="97"/>
      <c r="N2" s="97"/>
      <c r="O2" s="97"/>
      <c r="P2" s="97"/>
    </row>
    <row r="3" spans="1:16" x14ac:dyDescent="0.3">
      <c r="A3" s="98" t="s">
        <v>141</v>
      </c>
      <c r="B3" s="98"/>
      <c r="C3" s="98"/>
      <c r="D3" s="98"/>
      <c r="E3" s="98"/>
      <c r="F3" s="98"/>
      <c r="G3" s="98"/>
      <c r="H3" s="98"/>
      <c r="I3" s="98"/>
      <c r="J3" s="98"/>
      <c r="K3" s="98"/>
      <c r="L3" s="98"/>
      <c r="M3" s="98"/>
      <c r="N3" s="98"/>
      <c r="O3" s="98"/>
      <c r="P3" s="98"/>
    </row>
    <row r="4" spans="1:16" ht="39.75" customHeight="1" x14ac:dyDescent="0.3">
      <c r="A4" s="24" t="s">
        <v>69</v>
      </c>
      <c r="B4" s="24" t="s">
        <v>70</v>
      </c>
      <c r="C4" s="24" t="s">
        <v>142</v>
      </c>
      <c r="D4" s="24" t="s">
        <v>143</v>
      </c>
      <c r="E4" s="24" t="s">
        <v>144</v>
      </c>
      <c r="F4" s="24" t="s">
        <v>145</v>
      </c>
      <c r="G4" s="24" t="s">
        <v>146</v>
      </c>
      <c r="H4" s="24" t="s">
        <v>147</v>
      </c>
      <c r="I4" s="24" t="s">
        <v>148</v>
      </c>
      <c r="J4" s="24" t="s">
        <v>149</v>
      </c>
      <c r="K4" s="24" t="s">
        <v>150</v>
      </c>
      <c r="L4" s="24" t="s">
        <v>151</v>
      </c>
      <c r="M4" s="24" t="s">
        <v>152</v>
      </c>
      <c r="N4" s="24" t="s">
        <v>80</v>
      </c>
      <c r="O4" s="24" t="s">
        <v>153</v>
      </c>
      <c r="P4" s="24" t="s">
        <v>81</v>
      </c>
    </row>
    <row r="5" spans="1:16" ht="21.75" customHeight="1" x14ac:dyDescent="0.3">
      <c r="A5" s="99" t="s">
        <v>154</v>
      </c>
      <c r="B5" s="99"/>
      <c r="C5" s="99"/>
      <c r="D5" s="99"/>
      <c r="E5" s="99"/>
      <c r="F5" s="99"/>
      <c r="G5" s="99"/>
      <c r="H5" s="99"/>
      <c r="I5" s="99"/>
      <c r="J5" s="99"/>
      <c r="K5" s="99"/>
      <c r="L5" s="99"/>
      <c r="M5" s="99"/>
      <c r="N5" s="99"/>
      <c r="O5" s="99"/>
      <c r="P5" s="99"/>
    </row>
    <row r="6" spans="1:16" ht="39.75" customHeight="1" x14ac:dyDescent="0.3">
      <c r="A6" s="25">
        <v>1</v>
      </c>
      <c r="B6" s="42" t="s">
        <v>83</v>
      </c>
      <c r="C6" s="43" t="s">
        <v>155</v>
      </c>
      <c r="D6" s="25">
        <v>1</v>
      </c>
      <c r="E6" s="44" t="s">
        <v>156</v>
      </c>
      <c r="F6" s="45" t="s">
        <v>157</v>
      </c>
      <c r="G6" s="46" t="s">
        <v>1027</v>
      </c>
      <c r="H6" s="47">
        <v>30</v>
      </c>
      <c r="I6" s="48" t="s">
        <v>158</v>
      </c>
      <c r="J6" s="48" t="s">
        <v>159</v>
      </c>
      <c r="K6" s="25" t="s">
        <v>160</v>
      </c>
      <c r="L6" s="25" t="s">
        <v>161</v>
      </c>
      <c r="M6" s="49" t="s">
        <v>88</v>
      </c>
      <c r="N6" s="25" t="s">
        <v>162</v>
      </c>
      <c r="O6" s="50" t="s">
        <v>163</v>
      </c>
      <c r="P6" s="36"/>
    </row>
    <row r="7" spans="1:16" ht="39.75" customHeight="1" x14ac:dyDescent="0.3">
      <c r="A7" s="25">
        <v>2</v>
      </c>
      <c r="B7" s="42" t="s">
        <v>83</v>
      </c>
      <c r="C7" s="43" t="s">
        <v>164</v>
      </c>
      <c r="D7" s="25">
        <v>2</v>
      </c>
      <c r="E7" s="51" t="s">
        <v>165</v>
      </c>
      <c r="F7" s="52" t="s">
        <v>166</v>
      </c>
      <c r="G7" s="53" t="s">
        <v>167</v>
      </c>
      <c r="H7" s="47">
        <v>15</v>
      </c>
      <c r="I7" s="54" t="s">
        <v>168</v>
      </c>
      <c r="J7" s="54" t="s">
        <v>169</v>
      </c>
      <c r="K7" s="25" t="s">
        <v>170</v>
      </c>
      <c r="L7" s="25" t="s">
        <v>171</v>
      </c>
      <c r="M7" s="49" t="s">
        <v>88</v>
      </c>
      <c r="N7" s="25" t="s">
        <v>172</v>
      </c>
      <c r="O7" s="50" t="s">
        <v>163</v>
      </c>
      <c r="P7" s="36"/>
    </row>
    <row r="8" spans="1:16" ht="39.75" customHeight="1" x14ac:dyDescent="0.3">
      <c r="A8" s="25">
        <v>3</v>
      </c>
      <c r="B8" s="42" t="s">
        <v>83</v>
      </c>
      <c r="C8" s="43" t="s">
        <v>173</v>
      </c>
      <c r="D8" s="25">
        <v>3</v>
      </c>
      <c r="E8" s="44" t="s">
        <v>174</v>
      </c>
      <c r="F8" s="45" t="s">
        <v>175</v>
      </c>
      <c r="G8" s="46" t="s">
        <v>176</v>
      </c>
      <c r="H8" s="47">
        <v>30</v>
      </c>
      <c r="I8" s="48" t="s">
        <v>177</v>
      </c>
      <c r="J8" s="48" t="s">
        <v>178</v>
      </c>
      <c r="K8" s="25" t="s">
        <v>179</v>
      </c>
      <c r="L8" s="25" t="s">
        <v>180</v>
      </c>
      <c r="M8" s="49" t="s">
        <v>88</v>
      </c>
      <c r="N8" s="25" t="s">
        <v>172</v>
      </c>
      <c r="O8" s="50" t="s">
        <v>163</v>
      </c>
      <c r="P8" s="36"/>
    </row>
    <row r="9" spans="1:16" ht="39.75" customHeight="1" x14ac:dyDescent="0.3">
      <c r="A9" s="25">
        <v>4</v>
      </c>
      <c r="B9" s="42" t="s">
        <v>83</v>
      </c>
      <c r="C9" s="43" t="s">
        <v>181</v>
      </c>
      <c r="D9" s="25">
        <v>4</v>
      </c>
      <c r="E9" s="51" t="s">
        <v>182</v>
      </c>
      <c r="F9" s="52" t="s">
        <v>183</v>
      </c>
      <c r="G9" s="53" t="s">
        <v>184</v>
      </c>
      <c r="H9" s="47">
        <v>15</v>
      </c>
      <c r="I9" s="54" t="s">
        <v>185</v>
      </c>
      <c r="J9" s="54" t="s">
        <v>186</v>
      </c>
      <c r="K9" s="25" t="s">
        <v>187</v>
      </c>
      <c r="L9" s="25" t="s">
        <v>188</v>
      </c>
      <c r="M9" s="49" t="s">
        <v>88</v>
      </c>
      <c r="N9" s="25" t="s">
        <v>162</v>
      </c>
      <c r="O9" s="50" t="s">
        <v>163</v>
      </c>
      <c r="P9" s="36"/>
    </row>
    <row r="10" spans="1:16" ht="39.75" customHeight="1" x14ac:dyDescent="0.3">
      <c r="A10" s="25">
        <v>5</v>
      </c>
      <c r="B10" s="42" t="s">
        <v>83</v>
      </c>
      <c r="C10" s="43" t="s">
        <v>189</v>
      </c>
      <c r="D10" s="25">
        <v>5</v>
      </c>
      <c r="E10" s="44" t="s">
        <v>190</v>
      </c>
      <c r="F10" s="45" t="s">
        <v>191</v>
      </c>
      <c r="G10" s="46" t="s">
        <v>192</v>
      </c>
      <c r="H10" s="47">
        <v>20</v>
      </c>
      <c r="I10" s="48" t="s">
        <v>193</v>
      </c>
      <c r="J10" s="48" t="s">
        <v>194</v>
      </c>
      <c r="K10" s="25" t="s">
        <v>195</v>
      </c>
      <c r="L10" s="25" t="s">
        <v>196</v>
      </c>
      <c r="M10" s="49" t="s">
        <v>88</v>
      </c>
      <c r="N10" s="25" t="s">
        <v>172</v>
      </c>
      <c r="O10" s="50" t="s">
        <v>163</v>
      </c>
      <c r="P10" s="36"/>
    </row>
    <row r="11" spans="1:16" ht="39.75" customHeight="1" x14ac:dyDescent="0.3">
      <c r="A11" s="25">
        <v>6</v>
      </c>
      <c r="B11" s="42" t="s">
        <v>83</v>
      </c>
      <c r="C11" s="43" t="s">
        <v>197</v>
      </c>
      <c r="D11" s="25">
        <v>6</v>
      </c>
      <c r="E11" s="51" t="s">
        <v>198</v>
      </c>
      <c r="F11" s="52" t="s">
        <v>199</v>
      </c>
      <c r="G11" s="53" t="s">
        <v>200</v>
      </c>
      <c r="H11" s="47">
        <v>15</v>
      </c>
      <c r="I11" s="54" t="s">
        <v>201</v>
      </c>
      <c r="J11" s="54" t="s">
        <v>169</v>
      </c>
      <c r="K11" s="25" t="s">
        <v>202</v>
      </c>
      <c r="L11" s="25" t="s">
        <v>203</v>
      </c>
      <c r="M11" s="49" t="s">
        <v>88</v>
      </c>
      <c r="N11" s="25" t="s">
        <v>172</v>
      </c>
      <c r="O11" s="50" t="s">
        <v>163</v>
      </c>
      <c r="P11" s="36"/>
    </row>
    <row r="12" spans="1:16" ht="21.75" customHeight="1" x14ac:dyDescent="0.3">
      <c r="A12" s="100" t="s">
        <v>204</v>
      </c>
      <c r="B12" s="100"/>
      <c r="C12" s="100"/>
      <c r="D12" s="100"/>
      <c r="E12" s="100"/>
      <c r="F12" s="100"/>
      <c r="G12" s="100"/>
      <c r="H12" s="100"/>
      <c r="I12" s="100"/>
      <c r="J12" s="100"/>
      <c r="K12" s="100"/>
      <c r="L12" s="100"/>
      <c r="M12" s="100"/>
      <c r="N12" s="100"/>
      <c r="O12" s="100"/>
      <c r="P12" s="100"/>
    </row>
    <row r="13" spans="1:16" ht="39.75" customHeight="1" x14ac:dyDescent="0.3">
      <c r="A13" s="25">
        <v>7</v>
      </c>
      <c r="B13" s="55" t="s">
        <v>94</v>
      </c>
      <c r="C13" s="43" t="s">
        <v>205</v>
      </c>
      <c r="D13" s="25">
        <v>1</v>
      </c>
      <c r="E13" s="44" t="s">
        <v>206</v>
      </c>
      <c r="F13" s="45" t="s">
        <v>207</v>
      </c>
      <c r="G13" s="46" t="s">
        <v>208</v>
      </c>
      <c r="H13" s="47">
        <v>20</v>
      </c>
      <c r="I13" s="48" t="s">
        <v>209</v>
      </c>
      <c r="J13" s="48" t="s">
        <v>210</v>
      </c>
      <c r="K13" s="25" t="s">
        <v>211</v>
      </c>
      <c r="L13" s="25" t="s">
        <v>212</v>
      </c>
      <c r="M13" s="49" t="s">
        <v>88</v>
      </c>
      <c r="N13" s="25" t="s">
        <v>162</v>
      </c>
      <c r="O13" s="50" t="s">
        <v>163</v>
      </c>
      <c r="P13" s="36"/>
    </row>
    <row r="14" spans="1:16" ht="39.75" customHeight="1" x14ac:dyDescent="0.3">
      <c r="A14" s="25">
        <v>8</v>
      </c>
      <c r="B14" s="55" t="s">
        <v>94</v>
      </c>
      <c r="C14" s="43" t="s">
        <v>213</v>
      </c>
      <c r="D14" s="25">
        <v>2</v>
      </c>
      <c r="E14" s="56" t="s">
        <v>214</v>
      </c>
      <c r="F14" s="57" t="s">
        <v>215</v>
      </c>
      <c r="G14" s="58" t="s">
        <v>216</v>
      </c>
      <c r="H14" s="47">
        <v>20</v>
      </c>
      <c r="I14" s="59" t="s">
        <v>217</v>
      </c>
      <c r="J14" s="59" t="s">
        <v>218</v>
      </c>
      <c r="K14" s="25" t="s">
        <v>219</v>
      </c>
      <c r="L14" s="25" t="s">
        <v>220</v>
      </c>
      <c r="M14" s="49" t="s">
        <v>88</v>
      </c>
      <c r="N14" s="25" t="s">
        <v>162</v>
      </c>
      <c r="O14" s="50" t="s">
        <v>163</v>
      </c>
      <c r="P14" s="36"/>
    </row>
    <row r="15" spans="1:16" ht="39.75" customHeight="1" x14ac:dyDescent="0.3">
      <c r="A15" s="25">
        <v>9</v>
      </c>
      <c r="B15" s="55" t="s">
        <v>94</v>
      </c>
      <c r="C15" s="43" t="s">
        <v>221</v>
      </c>
      <c r="D15" s="25">
        <v>3</v>
      </c>
      <c r="E15" s="44" t="s">
        <v>222</v>
      </c>
      <c r="F15" s="45" t="s">
        <v>223</v>
      </c>
      <c r="G15" s="46" t="s">
        <v>224</v>
      </c>
      <c r="H15" s="47">
        <v>25</v>
      </c>
      <c r="I15" s="48" t="s">
        <v>225</v>
      </c>
      <c r="J15" s="48" t="s">
        <v>226</v>
      </c>
      <c r="K15" s="25" t="s">
        <v>227</v>
      </c>
      <c r="L15" s="25" t="s">
        <v>228</v>
      </c>
      <c r="M15" s="49" t="s">
        <v>88</v>
      </c>
      <c r="N15" s="25" t="s">
        <v>172</v>
      </c>
      <c r="O15" s="50" t="s">
        <v>163</v>
      </c>
      <c r="P15" s="36"/>
    </row>
    <row r="16" spans="1:16" ht="39.75" customHeight="1" x14ac:dyDescent="0.3">
      <c r="A16" s="25">
        <v>10</v>
      </c>
      <c r="B16" s="55" t="s">
        <v>94</v>
      </c>
      <c r="C16" s="43" t="s">
        <v>229</v>
      </c>
      <c r="D16" s="25">
        <v>4</v>
      </c>
      <c r="E16" s="56" t="s">
        <v>230</v>
      </c>
      <c r="F16" s="57" t="s">
        <v>231</v>
      </c>
      <c r="G16" s="58" t="s">
        <v>232</v>
      </c>
      <c r="H16" s="47">
        <v>45</v>
      </c>
      <c r="I16" s="59" t="s">
        <v>233</v>
      </c>
      <c r="J16" s="59" t="s">
        <v>234</v>
      </c>
      <c r="K16" s="25" t="s">
        <v>235</v>
      </c>
      <c r="L16" s="25" t="s">
        <v>236</v>
      </c>
      <c r="M16" s="49" t="s">
        <v>88</v>
      </c>
      <c r="N16" s="25" t="s">
        <v>162</v>
      </c>
      <c r="O16" s="50" t="s">
        <v>163</v>
      </c>
      <c r="P16" s="36"/>
    </row>
    <row r="17" spans="1:16" ht="39.75" customHeight="1" x14ac:dyDescent="0.3">
      <c r="A17" s="25">
        <v>11</v>
      </c>
      <c r="B17" s="55" t="s">
        <v>94</v>
      </c>
      <c r="C17" s="43" t="s">
        <v>237</v>
      </c>
      <c r="D17" s="25">
        <v>5</v>
      </c>
      <c r="E17" s="44" t="s">
        <v>238</v>
      </c>
      <c r="F17" s="45" t="s">
        <v>239</v>
      </c>
      <c r="G17" s="46" t="s">
        <v>240</v>
      </c>
      <c r="H17" s="47">
        <v>10</v>
      </c>
      <c r="I17" s="48" t="s">
        <v>241</v>
      </c>
      <c r="J17" s="48" t="s">
        <v>169</v>
      </c>
      <c r="K17" s="25" t="s">
        <v>242</v>
      </c>
      <c r="L17" s="25" t="s">
        <v>243</v>
      </c>
      <c r="M17" s="49" t="s">
        <v>88</v>
      </c>
      <c r="N17" s="25" t="s">
        <v>172</v>
      </c>
      <c r="O17" s="50" t="s">
        <v>163</v>
      </c>
      <c r="P17" s="36"/>
    </row>
    <row r="18" spans="1:16" ht="21.75" customHeight="1" x14ac:dyDescent="0.3">
      <c r="A18" s="101" t="s">
        <v>244</v>
      </c>
      <c r="B18" s="101"/>
      <c r="C18" s="101"/>
      <c r="D18" s="101"/>
      <c r="E18" s="101"/>
      <c r="F18" s="101"/>
      <c r="G18" s="101"/>
      <c r="H18" s="101"/>
      <c r="I18" s="101"/>
      <c r="J18" s="101"/>
      <c r="K18" s="101"/>
      <c r="L18" s="101"/>
      <c r="M18" s="101"/>
      <c r="N18" s="101"/>
      <c r="O18" s="101"/>
      <c r="P18" s="101"/>
    </row>
    <row r="19" spans="1:16" ht="39.75" customHeight="1" x14ac:dyDescent="0.3">
      <c r="A19" s="25">
        <v>12</v>
      </c>
      <c r="B19" s="60" t="s">
        <v>99</v>
      </c>
      <c r="C19" s="43" t="s">
        <v>245</v>
      </c>
      <c r="D19" s="25">
        <v>1</v>
      </c>
      <c r="E19" s="61" t="s">
        <v>246</v>
      </c>
      <c r="F19" s="62" t="s">
        <v>247</v>
      </c>
      <c r="G19" s="63" t="s">
        <v>248</v>
      </c>
      <c r="H19" s="47">
        <v>20</v>
      </c>
      <c r="I19" s="64" t="s">
        <v>249</v>
      </c>
      <c r="J19" s="64" t="s">
        <v>250</v>
      </c>
      <c r="K19" s="25" t="s">
        <v>251</v>
      </c>
      <c r="L19" s="25" t="s">
        <v>252</v>
      </c>
      <c r="M19" s="49" t="s">
        <v>88</v>
      </c>
      <c r="N19" s="25" t="s">
        <v>162</v>
      </c>
      <c r="O19" s="50" t="s">
        <v>163</v>
      </c>
      <c r="P19" s="36"/>
    </row>
    <row r="20" spans="1:16" ht="39.75" customHeight="1" x14ac:dyDescent="0.3">
      <c r="A20" s="25">
        <v>13</v>
      </c>
      <c r="B20" s="60" t="s">
        <v>99</v>
      </c>
      <c r="C20" s="43" t="s">
        <v>253</v>
      </c>
      <c r="D20" s="25">
        <v>2</v>
      </c>
      <c r="E20" s="44" t="s">
        <v>254</v>
      </c>
      <c r="F20" s="45" t="s">
        <v>255</v>
      </c>
      <c r="G20" s="46" t="s">
        <v>256</v>
      </c>
      <c r="H20" s="47">
        <v>15</v>
      </c>
      <c r="I20" s="48" t="s">
        <v>257</v>
      </c>
      <c r="J20" s="48" t="s">
        <v>250</v>
      </c>
      <c r="K20" s="25" t="s">
        <v>258</v>
      </c>
      <c r="L20" s="25" t="s">
        <v>259</v>
      </c>
      <c r="M20" s="49" t="s">
        <v>88</v>
      </c>
      <c r="N20" s="25" t="s">
        <v>172</v>
      </c>
      <c r="O20" s="50" t="s">
        <v>163</v>
      </c>
      <c r="P20" s="36"/>
    </row>
    <row r="21" spans="1:16" ht="39.75" customHeight="1" x14ac:dyDescent="0.3">
      <c r="A21" s="25">
        <v>14</v>
      </c>
      <c r="B21" s="60" t="s">
        <v>99</v>
      </c>
      <c r="C21" s="43" t="s">
        <v>260</v>
      </c>
      <c r="D21" s="25">
        <v>3</v>
      </c>
      <c r="E21" s="61" t="s">
        <v>261</v>
      </c>
      <c r="F21" s="62" t="s">
        <v>262</v>
      </c>
      <c r="G21" s="63" t="s">
        <v>263</v>
      </c>
      <c r="H21" s="47">
        <v>60</v>
      </c>
      <c r="I21" s="64" t="s">
        <v>264</v>
      </c>
      <c r="J21" s="64" t="s">
        <v>265</v>
      </c>
      <c r="K21" s="25" t="s">
        <v>266</v>
      </c>
      <c r="L21" s="25" t="s">
        <v>267</v>
      </c>
      <c r="M21" s="49" t="s">
        <v>88</v>
      </c>
      <c r="N21" s="25" t="s">
        <v>162</v>
      </c>
      <c r="O21" s="50" t="s">
        <v>163</v>
      </c>
      <c r="P21" s="36"/>
    </row>
    <row r="22" spans="1:16" ht="39.75" customHeight="1" x14ac:dyDescent="0.3">
      <c r="A22" s="25">
        <v>15</v>
      </c>
      <c r="B22" s="60" t="s">
        <v>99</v>
      </c>
      <c r="C22" s="43" t="s">
        <v>268</v>
      </c>
      <c r="D22" s="25">
        <v>4</v>
      </c>
      <c r="E22" s="44" t="s">
        <v>269</v>
      </c>
      <c r="F22" s="45" t="s">
        <v>270</v>
      </c>
      <c r="G22" s="46" t="s">
        <v>271</v>
      </c>
      <c r="H22" s="47">
        <v>30</v>
      </c>
      <c r="I22" s="48" t="s">
        <v>272</v>
      </c>
      <c r="J22" s="48" t="s">
        <v>273</v>
      </c>
      <c r="K22" s="25" t="s">
        <v>274</v>
      </c>
      <c r="L22" s="25" t="s">
        <v>275</v>
      </c>
      <c r="M22" s="49" t="s">
        <v>88</v>
      </c>
      <c r="N22" s="25" t="s">
        <v>172</v>
      </c>
      <c r="O22" s="50" t="s">
        <v>163</v>
      </c>
      <c r="P22" s="36"/>
    </row>
    <row r="23" spans="1:16" ht="39.75" customHeight="1" x14ac:dyDescent="0.3">
      <c r="A23" s="25">
        <v>16</v>
      </c>
      <c r="B23" s="60" t="s">
        <v>99</v>
      </c>
      <c r="C23" s="43" t="s">
        <v>276</v>
      </c>
      <c r="D23" s="25">
        <v>5</v>
      </c>
      <c r="E23" s="61" t="s">
        <v>277</v>
      </c>
      <c r="F23" s="62" t="s">
        <v>278</v>
      </c>
      <c r="G23" s="63" t="s">
        <v>279</v>
      </c>
      <c r="H23" s="47">
        <v>90</v>
      </c>
      <c r="I23" s="64" t="s">
        <v>280</v>
      </c>
      <c r="J23" s="64" t="s">
        <v>281</v>
      </c>
      <c r="K23" s="25" t="s">
        <v>282</v>
      </c>
      <c r="L23" s="25" t="s">
        <v>283</v>
      </c>
      <c r="M23" s="49" t="s">
        <v>88</v>
      </c>
      <c r="N23" s="25" t="s">
        <v>162</v>
      </c>
      <c r="O23" s="50" t="s">
        <v>163</v>
      </c>
      <c r="P23" s="36"/>
    </row>
    <row r="24" spans="1:16" ht="39.75" customHeight="1" x14ac:dyDescent="0.3">
      <c r="A24" s="25">
        <v>17</v>
      </c>
      <c r="B24" s="60" t="s">
        <v>99</v>
      </c>
      <c r="C24" s="43" t="s">
        <v>284</v>
      </c>
      <c r="D24" s="25">
        <v>6</v>
      </c>
      <c r="E24" s="44" t="s">
        <v>285</v>
      </c>
      <c r="F24" s="45" t="s">
        <v>286</v>
      </c>
      <c r="G24" s="46" t="s">
        <v>287</v>
      </c>
      <c r="H24" s="47">
        <v>10</v>
      </c>
      <c r="I24" s="48" t="s">
        <v>288</v>
      </c>
      <c r="J24" s="48" t="s">
        <v>289</v>
      </c>
      <c r="K24" s="25" t="s">
        <v>290</v>
      </c>
      <c r="L24" s="25" t="s">
        <v>291</v>
      </c>
      <c r="M24" s="49" t="s">
        <v>88</v>
      </c>
      <c r="N24" s="25" t="s">
        <v>172</v>
      </c>
      <c r="O24" s="50" t="s">
        <v>163</v>
      </c>
      <c r="P24" s="36"/>
    </row>
    <row r="25" spans="1:16" ht="21.75" customHeight="1" x14ac:dyDescent="0.3">
      <c r="A25" s="102" t="s">
        <v>292</v>
      </c>
      <c r="B25" s="102"/>
      <c r="C25" s="102"/>
      <c r="D25" s="102"/>
      <c r="E25" s="102"/>
      <c r="F25" s="102"/>
      <c r="G25" s="102"/>
      <c r="H25" s="102"/>
      <c r="I25" s="102"/>
      <c r="J25" s="102"/>
      <c r="K25" s="102"/>
      <c r="L25" s="102"/>
      <c r="M25" s="102"/>
      <c r="N25" s="102"/>
      <c r="O25" s="102"/>
      <c r="P25" s="102"/>
    </row>
    <row r="26" spans="1:16" ht="39.75" customHeight="1" x14ac:dyDescent="0.3">
      <c r="A26" s="25">
        <v>18</v>
      </c>
      <c r="B26" s="65" t="s">
        <v>106</v>
      </c>
      <c r="C26" s="43" t="s">
        <v>293</v>
      </c>
      <c r="D26" s="25">
        <v>1</v>
      </c>
      <c r="E26" s="66" t="s">
        <v>294</v>
      </c>
      <c r="F26" s="67" t="s">
        <v>295</v>
      </c>
      <c r="G26" s="68" t="s">
        <v>296</v>
      </c>
      <c r="H26" s="47">
        <v>30</v>
      </c>
      <c r="I26" s="69" t="s">
        <v>297</v>
      </c>
      <c r="J26" s="69" t="s">
        <v>298</v>
      </c>
      <c r="K26" s="25" t="s">
        <v>299</v>
      </c>
      <c r="L26" s="25" t="s">
        <v>300</v>
      </c>
      <c r="M26" s="49" t="s">
        <v>88</v>
      </c>
      <c r="N26" s="25" t="s">
        <v>172</v>
      </c>
      <c r="O26" s="50" t="s">
        <v>163</v>
      </c>
      <c r="P26" s="36"/>
    </row>
    <row r="27" spans="1:16" ht="39.75" customHeight="1" x14ac:dyDescent="0.3">
      <c r="A27" s="25">
        <v>19</v>
      </c>
      <c r="B27" s="65" t="s">
        <v>106</v>
      </c>
      <c r="C27" s="43" t="s">
        <v>301</v>
      </c>
      <c r="D27" s="25">
        <v>2</v>
      </c>
      <c r="E27" s="44" t="s">
        <v>302</v>
      </c>
      <c r="F27" s="45" t="s">
        <v>303</v>
      </c>
      <c r="G27" s="46" t="s">
        <v>304</v>
      </c>
      <c r="H27" s="47">
        <v>40</v>
      </c>
      <c r="I27" s="48" t="s">
        <v>305</v>
      </c>
      <c r="J27" s="48" t="s">
        <v>306</v>
      </c>
      <c r="K27" s="25" t="s">
        <v>307</v>
      </c>
      <c r="L27" s="25" t="s">
        <v>308</v>
      </c>
      <c r="M27" s="49" t="s">
        <v>88</v>
      </c>
      <c r="N27" s="25" t="s">
        <v>162</v>
      </c>
      <c r="O27" s="50" t="s">
        <v>163</v>
      </c>
      <c r="P27" s="36"/>
    </row>
    <row r="28" spans="1:16" ht="39.75" customHeight="1" x14ac:dyDescent="0.3">
      <c r="A28" s="25">
        <v>20</v>
      </c>
      <c r="B28" s="65" t="s">
        <v>106</v>
      </c>
      <c r="C28" s="43" t="s">
        <v>309</v>
      </c>
      <c r="D28" s="25">
        <v>3</v>
      </c>
      <c r="E28" s="66" t="s">
        <v>310</v>
      </c>
      <c r="F28" s="67" t="s">
        <v>311</v>
      </c>
      <c r="G28" s="68" t="s">
        <v>312</v>
      </c>
      <c r="H28" s="47">
        <v>25</v>
      </c>
      <c r="I28" s="69" t="s">
        <v>313</v>
      </c>
      <c r="J28" s="69" t="s">
        <v>314</v>
      </c>
      <c r="K28" s="25" t="s">
        <v>315</v>
      </c>
      <c r="L28" s="25" t="s">
        <v>316</v>
      </c>
      <c r="M28" s="49" t="s">
        <v>88</v>
      </c>
      <c r="N28" s="25" t="s">
        <v>172</v>
      </c>
      <c r="O28" s="50" t="s">
        <v>163</v>
      </c>
      <c r="P28" s="36"/>
    </row>
    <row r="29" spans="1:16" ht="39.75" customHeight="1" x14ac:dyDescent="0.3">
      <c r="A29" s="25">
        <v>21</v>
      </c>
      <c r="B29" s="65" t="s">
        <v>106</v>
      </c>
      <c r="C29" s="43" t="s">
        <v>317</v>
      </c>
      <c r="D29" s="25">
        <v>4</v>
      </c>
      <c r="E29" s="44" t="s">
        <v>318</v>
      </c>
      <c r="F29" s="45" t="s">
        <v>319</v>
      </c>
      <c r="G29" s="46" t="s">
        <v>320</v>
      </c>
      <c r="H29" s="47">
        <v>30</v>
      </c>
      <c r="I29" s="48" t="s">
        <v>321</v>
      </c>
      <c r="J29" s="48" t="s">
        <v>322</v>
      </c>
      <c r="K29" s="25" t="s">
        <v>323</v>
      </c>
      <c r="L29" s="25" t="s">
        <v>324</v>
      </c>
      <c r="M29" s="49" t="s">
        <v>88</v>
      </c>
      <c r="N29" s="25" t="s">
        <v>162</v>
      </c>
      <c r="O29" s="50" t="s">
        <v>163</v>
      </c>
      <c r="P29" s="36"/>
    </row>
    <row r="30" spans="1:16" ht="39.75" customHeight="1" x14ac:dyDescent="0.3">
      <c r="A30" s="25">
        <v>22</v>
      </c>
      <c r="B30" s="65" t="s">
        <v>106</v>
      </c>
      <c r="C30" s="43" t="s">
        <v>325</v>
      </c>
      <c r="D30" s="25">
        <v>5</v>
      </c>
      <c r="E30" s="66" t="s">
        <v>326</v>
      </c>
      <c r="F30" s="67" t="s">
        <v>327</v>
      </c>
      <c r="G30" s="68" t="s">
        <v>328</v>
      </c>
      <c r="H30" s="47">
        <v>30</v>
      </c>
      <c r="I30" s="69" t="s">
        <v>329</v>
      </c>
      <c r="J30" s="69" t="s">
        <v>306</v>
      </c>
      <c r="K30" s="25" t="s">
        <v>330</v>
      </c>
      <c r="L30" s="25" t="s">
        <v>331</v>
      </c>
      <c r="M30" s="49" t="s">
        <v>88</v>
      </c>
      <c r="N30" s="25" t="s">
        <v>162</v>
      </c>
      <c r="O30" s="50" t="s">
        <v>163</v>
      </c>
      <c r="P30" s="36"/>
    </row>
    <row r="31" spans="1:16" ht="21.75" customHeight="1" x14ac:dyDescent="0.3">
      <c r="A31" s="99" t="s">
        <v>332</v>
      </c>
      <c r="B31" s="99"/>
      <c r="C31" s="99"/>
      <c r="D31" s="99"/>
      <c r="E31" s="99"/>
      <c r="F31" s="99"/>
      <c r="G31" s="99"/>
      <c r="H31" s="99"/>
      <c r="I31" s="99"/>
      <c r="J31" s="99"/>
      <c r="K31" s="99"/>
      <c r="L31" s="99"/>
      <c r="M31" s="99"/>
      <c r="N31" s="99"/>
      <c r="O31" s="99"/>
      <c r="P31" s="99"/>
    </row>
    <row r="32" spans="1:16" ht="39.75" customHeight="1" x14ac:dyDescent="0.3">
      <c r="A32" s="25">
        <v>23</v>
      </c>
      <c r="B32" s="42" t="s">
        <v>112</v>
      </c>
      <c r="C32" s="43" t="s">
        <v>333</v>
      </c>
      <c r="D32" s="25">
        <v>1</v>
      </c>
      <c r="E32" s="44" t="s">
        <v>334</v>
      </c>
      <c r="F32" s="45" t="s">
        <v>335</v>
      </c>
      <c r="G32" s="46" t="s">
        <v>336</v>
      </c>
      <c r="H32" s="47">
        <v>20</v>
      </c>
      <c r="I32" s="48" t="s">
        <v>337</v>
      </c>
      <c r="J32" s="48" t="s">
        <v>169</v>
      </c>
      <c r="K32" s="25" t="s">
        <v>338</v>
      </c>
      <c r="L32" s="25" t="s">
        <v>339</v>
      </c>
      <c r="M32" s="49" t="s">
        <v>88</v>
      </c>
      <c r="N32" s="25" t="s">
        <v>172</v>
      </c>
      <c r="O32" s="50" t="s">
        <v>163</v>
      </c>
      <c r="P32" s="36"/>
    </row>
    <row r="33" spans="1:16" ht="39.75" customHeight="1" x14ac:dyDescent="0.3">
      <c r="A33" s="25">
        <v>24</v>
      </c>
      <c r="B33" s="42" t="s">
        <v>112</v>
      </c>
      <c r="C33" s="43" t="s">
        <v>340</v>
      </c>
      <c r="D33" s="25">
        <v>2</v>
      </c>
      <c r="E33" s="51" t="s">
        <v>341</v>
      </c>
      <c r="F33" s="52" t="s">
        <v>342</v>
      </c>
      <c r="G33" s="53" t="s">
        <v>343</v>
      </c>
      <c r="H33" s="47">
        <v>20</v>
      </c>
      <c r="I33" s="54" t="s">
        <v>344</v>
      </c>
      <c r="J33" s="54" t="s">
        <v>345</v>
      </c>
      <c r="K33" s="25" t="s">
        <v>346</v>
      </c>
      <c r="L33" s="25" t="s">
        <v>347</v>
      </c>
      <c r="M33" s="49" t="s">
        <v>88</v>
      </c>
      <c r="N33" s="25" t="s">
        <v>162</v>
      </c>
      <c r="O33" s="50" t="s">
        <v>163</v>
      </c>
      <c r="P33" s="36"/>
    </row>
    <row r="34" spans="1:16" ht="39.75" customHeight="1" x14ac:dyDescent="0.3">
      <c r="A34" s="25">
        <v>25</v>
      </c>
      <c r="B34" s="42" t="s">
        <v>112</v>
      </c>
      <c r="C34" s="43" t="s">
        <v>348</v>
      </c>
      <c r="D34" s="25">
        <v>3</v>
      </c>
      <c r="E34" s="44" t="s">
        <v>349</v>
      </c>
      <c r="F34" s="45" t="s">
        <v>350</v>
      </c>
      <c r="G34" s="46" t="s">
        <v>351</v>
      </c>
      <c r="H34" s="47">
        <v>15</v>
      </c>
      <c r="I34" s="48" t="s">
        <v>352</v>
      </c>
      <c r="J34" s="48" t="s">
        <v>169</v>
      </c>
      <c r="K34" s="25" t="s">
        <v>353</v>
      </c>
      <c r="L34" s="25" t="s">
        <v>354</v>
      </c>
      <c r="M34" s="49" t="s">
        <v>88</v>
      </c>
      <c r="N34" s="25" t="s">
        <v>162</v>
      </c>
      <c r="O34" s="50" t="s">
        <v>163</v>
      </c>
      <c r="P34" s="36"/>
    </row>
    <row r="35" spans="1:16" ht="39.75" customHeight="1" x14ac:dyDescent="0.3">
      <c r="A35" s="25">
        <v>26</v>
      </c>
      <c r="B35" s="42" t="s">
        <v>112</v>
      </c>
      <c r="C35" s="43" t="s">
        <v>355</v>
      </c>
      <c r="D35" s="25">
        <v>4</v>
      </c>
      <c r="E35" s="51" t="s">
        <v>356</v>
      </c>
      <c r="F35" s="52" t="s">
        <v>357</v>
      </c>
      <c r="G35" s="53" t="s">
        <v>358</v>
      </c>
      <c r="H35" s="47">
        <v>15</v>
      </c>
      <c r="I35" s="54" t="s">
        <v>359</v>
      </c>
      <c r="J35" s="54" t="s">
        <v>360</v>
      </c>
      <c r="K35" s="25" t="s">
        <v>361</v>
      </c>
      <c r="L35" s="25" t="s">
        <v>362</v>
      </c>
      <c r="M35" s="49" t="s">
        <v>88</v>
      </c>
      <c r="N35" s="25" t="s">
        <v>172</v>
      </c>
      <c r="O35" s="50" t="s">
        <v>163</v>
      </c>
      <c r="P35" s="36"/>
    </row>
    <row r="36" spans="1:16" ht="39.75" customHeight="1" x14ac:dyDescent="0.3">
      <c r="A36" s="25">
        <v>27</v>
      </c>
      <c r="B36" s="42" t="s">
        <v>112</v>
      </c>
      <c r="C36" s="43" t="s">
        <v>363</v>
      </c>
      <c r="D36" s="25">
        <v>5</v>
      </c>
      <c r="E36" s="44" t="s">
        <v>364</v>
      </c>
      <c r="F36" s="45" t="s">
        <v>365</v>
      </c>
      <c r="G36" s="46" t="s">
        <v>366</v>
      </c>
      <c r="H36" s="47">
        <v>10</v>
      </c>
      <c r="I36" s="48" t="s">
        <v>367</v>
      </c>
      <c r="J36" s="48" t="s">
        <v>169</v>
      </c>
      <c r="K36" s="25" t="s">
        <v>368</v>
      </c>
      <c r="L36" s="25" t="s">
        <v>369</v>
      </c>
      <c r="M36" s="49" t="s">
        <v>88</v>
      </c>
      <c r="N36" s="25" t="s">
        <v>172</v>
      </c>
      <c r="O36" s="50" t="s">
        <v>163</v>
      </c>
      <c r="P36" s="36"/>
    </row>
    <row r="37" spans="1:16" ht="21.75" customHeight="1" x14ac:dyDescent="0.3">
      <c r="A37" s="102" t="s">
        <v>370</v>
      </c>
      <c r="B37" s="102"/>
      <c r="C37" s="102"/>
      <c r="D37" s="102"/>
      <c r="E37" s="102"/>
      <c r="F37" s="102"/>
      <c r="G37" s="102"/>
      <c r="H37" s="102"/>
      <c r="I37" s="102"/>
      <c r="J37" s="102"/>
      <c r="K37" s="102"/>
      <c r="L37" s="102"/>
      <c r="M37" s="102"/>
      <c r="N37" s="102"/>
      <c r="O37" s="102"/>
      <c r="P37" s="102"/>
    </row>
    <row r="38" spans="1:16" ht="39.75" customHeight="1" x14ac:dyDescent="0.3">
      <c r="A38" s="25">
        <v>28</v>
      </c>
      <c r="B38" s="65" t="s">
        <v>116</v>
      </c>
      <c r="C38" s="43" t="s">
        <v>371</v>
      </c>
      <c r="D38" s="25">
        <v>1</v>
      </c>
      <c r="E38" s="66" t="s">
        <v>372</v>
      </c>
      <c r="F38" s="67" t="s">
        <v>373</v>
      </c>
      <c r="G38" s="68" t="s">
        <v>374</v>
      </c>
      <c r="H38" s="47">
        <v>20</v>
      </c>
      <c r="I38" s="69" t="s">
        <v>375</v>
      </c>
      <c r="J38" s="69" t="s">
        <v>194</v>
      </c>
      <c r="K38" s="25" t="s">
        <v>376</v>
      </c>
      <c r="L38" s="25" t="s">
        <v>377</v>
      </c>
      <c r="M38" s="49" t="s">
        <v>88</v>
      </c>
      <c r="N38" s="25" t="s">
        <v>172</v>
      </c>
      <c r="O38" s="50" t="s">
        <v>163</v>
      </c>
      <c r="P38" s="36"/>
    </row>
    <row r="39" spans="1:16" ht="39.75" customHeight="1" x14ac:dyDescent="0.3">
      <c r="A39" s="25">
        <v>29</v>
      </c>
      <c r="B39" s="65" t="s">
        <v>116</v>
      </c>
      <c r="C39" s="43" t="s">
        <v>378</v>
      </c>
      <c r="D39" s="25">
        <v>2</v>
      </c>
      <c r="E39" s="44" t="s">
        <v>379</v>
      </c>
      <c r="F39" s="45" t="s">
        <v>380</v>
      </c>
      <c r="G39" s="46" t="s">
        <v>381</v>
      </c>
      <c r="H39" s="47">
        <v>30</v>
      </c>
      <c r="I39" s="48" t="s">
        <v>382</v>
      </c>
      <c r="J39" s="48" t="s">
        <v>194</v>
      </c>
      <c r="K39" s="25" t="s">
        <v>383</v>
      </c>
      <c r="L39" s="25" t="s">
        <v>384</v>
      </c>
      <c r="M39" s="49" t="s">
        <v>88</v>
      </c>
      <c r="N39" s="25" t="s">
        <v>162</v>
      </c>
      <c r="O39" s="50" t="s">
        <v>163</v>
      </c>
      <c r="P39" s="36"/>
    </row>
    <row r="40" spans="1:16" ht="39.75" customHeight="1" x14ac:dyDescent="0.3">
      <c r="A40" s="25">
        <v>30</v>
      </c>
      <c r="B40" s="65" t="s">
        <v>116</v>
      </c>
      <c r="C40" s="43" t="s">
        <v>385</v>
      </c>
      <c r="D40" s="25">
        <v>3</v>
      </c>
      <c r="E40" s="66" t="s">
        <v>386</v>
      </c>
      <c r="F40" s="67" t="s">
        <v>387</v>
      </c>
      <c r="G40" s="68" t="s">
        <v>388</v>
      </c>
      <c r="H40" s="47">
        <v>20</v>
      </c>
      <c r="I40" s="69" t="s">
        <v>389</v>
      </c>
      <c r="J40" s="69" t="s">
        <v>159</v>
      </c>
      <c r="K40" s="25" t="s">
        <v>390</v>
      </c>
      <c r="L40" s="25" t="s">
        <v>391</v>
      </c>
      <c r="M40" s="49" t="s">
        <v>88</v>
      </c>
      <c r="N40" s="25" t="s">
        <v>172</v>
      </c>
      <c r="O40" s="50" t="s">
        <v>163</v>
      </c>
      <c r="P40" s="36"/>
    </row>
    <row r="41" spans="1:16" ht="39.75" customHeight="1" x14ac:dyDescent="0.3">
      <c r="A41" s="25">
        <v>31</v>
      </c>
      <c r="B41" s="65" t="s">
        <v>116</v>
      </c>
      <c r="C41" s="43" t="s">
        <v>392</v>
      </c>
      <c r="D41" s="25">
        <v>4</v>
      </c>
      <c r="E41" s="44" t="s">
        <v>393</v>
      </c>
      <c r="F41" s="45" t="s">
        <v>394</v>
      </c>
      <c r="G41" s="46" t="s">
        <v>395</v>
      </c>
      <c r="H41" s="47">
        <v>25</v>
      </c>
      <c r="I41" s="48" t="s">
        <v>396</v>
      </c>
      <c r="J41" s="48" t="s">
        <v>194</v>
      </c>
      <c r="K41" s="25" t="s">
        <v>397</v>
      </c>
      <c r="L41" s="25" t="s">
        <v>398</v>
      </c>
      <c r="M41" s="49" t="s">
        <v>88</v>
      </c>
      <c r="N41" s="25" t="s">
        <v>162</v>
      </c>
      <c r="O41" s="50" t="s">
        <v>163</v>
      </c>
      <c r="P41" s="36"/>
    </row>
    <row r="42" spans="1:16" ht="21.75" customHeight="1" x14ac:dyDescent="0.3">
      <c r="A42" s="101" t="s">
        <v>399</v>
      </c>
      <c r="B42" s="101"/>
      <c r="C42" s="101"/>
      <c r="D42" s="101"/>
      <c r="E42" s="101"/>
      <c r="F42" s="101"/>
      <c r="G42" s="101"/>
      <c r="H42" s="101"/>
      <c r="I42" s="101"/>
      <c r="J42" s="101"/>
      <c r="K42" s="101"/>
      <c r="L42" s="101"/>
      <c r="M42" s="101"/>
      <c r="N42" s="101"/>
      <c r="O42" s="101"/>
      <c r="P42" s="101"/>
    </row>
    <row r="43" spans="1:16" ht="39.75" customHeight="1" x14ac:dyDescent="0.3">
      <c r="A43" s="25">
        <v>32</v>
      </c>
      <c r="B43" s="60" t="s">
        <v>120</v>
      </c>
      <c r="C43" s="43" t="s">
        <v>400</v>
      </c>
      <c r="D43" s="25">
        <v>1</v>
      </c>
      <c r="E43" s="61" t="s">
        <v>401</v>
      </c>
      <c r="F43" s="62" t="s">
        <v>402</v>
      </c>
      <c r="G43" s="63" t="s">
        <v>403</v>
      </c>
      <c r="H43" s="47">
        <v>30</v>
      </c>
      <c r="I43" s="64" t="s">
        <v>404</v>
      </c>
      <c r="J43" s="64" t="s">
        <v>194</v>
      </c>
      <c r="K43" s="25" t="s">
        <v>405</v>
      </c>
      <c r="L43" s="25" t="s">
        <v>406</v>
      </c>
      <c r="M43" s="49" t="s">
        <v>88</v>
      </c>
      <c r="N43" s="25" t="s">
        <v>162</v>
      </c>
      <c r="O43" s="50" t="s">
        <v>163</v>
      </c>
      <c r="P43" s="36"/>
    </row>
    <row r="44" spans="1:16" ht="39.75" customHeight="1" x14ac:dyDescent="0.3">
      <c r="A44" s="25">
        <v>33</v>
      </c>
      <c r="B44" s="60" t="s">
        <v>120</v>
      </c>
      <c r="C44" s="43" t="s">
        <v>407</v>
      </c>
      <c r="D44" s="25">
        <v>2</v>
      </c>
      <c r="E44" s="44" t="s">
        <v>408</v>
      </c>
      <c r="F44" s="45" t="s">
        <v>409</v>
      </c>
      <c r="G44" s="46" t="s">
        <v>410</v>
      </c>
      <c r="H44" s="47">
        <v>20</v>
      </c>
      <c r="I44" s="48" t="s">
        <v>411</v>
      </c>
      <c r="J44" s="48" t="s">
        <v>159</v>
      </c>
      <c r="K44" s="25" t="s">
        <v>412</v>
      </c>
      <c r="L44" s="25" t="s">
        <v>413</v>
      </c>
      <c r="M44" s="49" t="s">
        <v>88</v>
      </c>
      <c r="N44" s="25" t="s">
        <v>414</v>
      </c>
      <c r="O44" s="50" t="s">
        <v>163</v>
      </c>
      <c r="P44" s="36"/>
    </row>
    <row r="45" spans="1:16" ht="39.75" customHeight="1" x14ac:dyDescent="0.3">
      <c r="A45" s="25">
        <v>34</v>
      </c>
      <c r="B45" s="60" t="s">
        <v>120</v>
      </c>
      <c r="C45" s="43" t="s">
        <v>415</v>
      </c>
      <c r="D45" s="25">
        <v>3</v>
      </c>
      <c r="E45" s="61" t="s">
        <v>416</v>
      </c>
      <c r="F45" s="62" t="s">
        <v>417</v>
      </c>
      <c r="G45" s="63" t="s">
        <v>418</v>
      </c>
      <c r="H45" s="47">
        <v>20</v>
      </c>
      <c r="I45" s="64" t="s">
        <v>419</v>
      </c>
      <c r="J45" s="64" t="s">
        <v>194</v>
      </c>
      <c r="K45" s="25" t="s">
        <v>420</v>
      </c>
      <c r="L45" s="25" t="s">
        <v>421</v>
      </c>
      <c r="M45" s="49" t="s">
        <v>88</v>
      </c>
      <c r="N45" s="25" t="s">
        <v>162</v>
      </c>
      <c r="O45" s="50" t="s">
        <v>163</v>
      </c>
      <c r="P45" s="36"/>
    </row>
    <row r="46" spans="1:16" ht="39.75" customHeight="1" x14ac:dyDescent="0.3">
      <c r="A46" s="25">
        <v>35</v>
      </c>
      <c r="B46" s="60" t="s">
        <v>120</v>
      </c>
      <c r="C46" s="43" t="s">
        <v>422</v>
      </c>
      <c r="D46" s="25">
        <v>4</v>
      </c>
      <c r="E46" s="44" t="s">
        <v>423</v>
      </c>
      <c r="F46" s="45" t="s">
        <v>424</v>
      </c>
      <c r="G46" s="46" t="s">
        <v>425</v>
      </c>
      <c r="H46" s="47">
        <v>15</v>
      </c>
      <c r="I46" s="48" t="s">
        <v>426</v>
      </c>
      <c r="J46" s="48" t="s">
        <v>169</v>
      </c>
      <c r="K46" s="25" t="s">
        <v>427</v>
      </c>
      <c r="L46" s="25" t="s">
        <v>428</v>
      </c>
      <c r="M46" s="49" t="s">
        <v>88</v>
      </c>
      <c r="N46" s="25" t="s">
        <v>172</v>
      </c>
      <c r="O46" s="50" t="s">
        <v>163</v>
      </c>
      <c r="P46" s="36"/>
    </row>
    <row r="47" spans="1:16" ht="39.75" customHeight="1" x14ac:dyDescent="0.3">
      <c r="A47" s="25">
        <v>36</v>
      </c>
      <c r="B47" s="60" t="s">
        <v>120</v>
      </c>
      <c r="C47" s="43" t="s">
        <v>429</v>
      </c>
      <c r="D47" s="25">
        <v>5</v>
      </c>
      <c r="E47" s="61" t="s">
        <v>430</v>
      </c>
      <c r="F47" s="62" t="s">
        <v>431</v>
      </c>
      <c r="G47" s="63" t="s">
        <v>432</v>
      </c>
      <c r="H47" s="47">
        <v>20</v>
      </c>
      <c r="I47" s="64" t="s">
        <v>433</v>
      </c>
      <c r="J47" s="64" t="s">
        <v>194</v>
      </c>
      <c r="K47" s="25" t="s">
        <v>434</v>
      </c>
      <c r="L47" s="25" t="s">
        <v>435</v>
      </c>
      <c r="M47" s="49" t="s">
        <v>88</v>
      </c>
      <c r="N47" s="25" t="s">
        <v>162</v>
      </c>
      <c r="O47" s="50" t="s">
        <v>163</v>
      </c>
      <c r="P47" s="36"/>
    </row>
    <row r="48" spans="1:16" ht="39.75" customHeight="1" x14ac:dyDescent="0.3">
      <c r="A48" s="25">
        <v>37</v>
      </c>
      <c r="B48" s="60" t="s">
        <v>120</v>
      </c>
      <c r="C48" s="43" t="s">
        <v>436</v>
      </c>
      <c r="D48" s="25">
        <v>6</v>
      </c>
      <c r="E48" s="44" t="s">
        <v>437</v>
      </c>
      <c r="F48" s="45" t="s">
        <v>438</v>
      </c>
      <c r="G48" s="46" t="s">
        <v>439</v>
      </c>
      <c r="H48" s="47">
        <v>20</v>
      </c>
      <c r="I48" s="48" t="s">
        <v>440</v>
      </c>
      <c r="J48" s="48" t="s">
        <v>169</v>
      </c>
      <c r="K48" s="25" t="s">
        <v>441</v>
      </c>
      <c r="L48" s="25" t="s">
        <v>442</v>
      </c>
      <c r="M48" s="49" t="s">
        <v>88</v>
      </c>
      <c r="N48" s="25" t="s">
        <v>172</v>
      </c>
      <c r="O48" s="50" t="s">
        <v>163</v>
      </c>
      <c r="P48" s="36"/>
    </row>
    <row r="49" spans="1:16" ht="21.75" customHeight="1" x14ac:dyDescent="0.3">
      <c r="A49" s="102" t="s">
        <v>443</v>
      </c>
      <c r="B49" s="102"/>
      <c r="C49" s="102"/>
      <c r="D49" s="102"/>
      <c r="E49" s="102"/>
      <c r="F49" s="102"/>
      <c r="G49" s="102"/>
      <c r="H49" s="102"/>
      <c r="I49" s="102"/>
      <c r="J49" s="102"/>
      <c r="K49" s="102"/>
      <c r="L49" s="102"/>
      <c r="M49" s="102"/>
      <c r="N49" s="102"/>
      <c r="O49" s="102"/>
      <c r="P49" s="102"/>
    </row>
    <row r="50" spans="1:16" ht="39.75" customHeight="1" x14ac:dyDescent="0.3">
      <c r="A50" s="25">
        <v>38</v>
      </c>
      <c r="B50" s="65" t="s">
        <v>124</v>
      </c>
      <c r="C50" s="43" t="s">
        <v>444</v>
      </c>
      <c r="D50" s="25">
        <v>1</v>
      </c>
      <c r="E50" s="66" t="s">
        <v>445</v>
      </c>
      <c r="F50" s="67" t="s">
        <v>446</v>
      </c>
      <c r="G50" s="68" t="s">
        <v>447</v>
      </c>
      <c r="H50" s="47">
        <v>20</v>
      </c>
      <c r="I50" s="69" t="s">
        <v>448</v>
      </c>
      <c r="J50" s="69" t="s">
        <v>194</v>
      </c>
      <c r="K50" s="25" t="s">
        <v>449</v>
      </c>
      <c r="L50" s="25" t="s">
        <v>450</v>
      </c>
      <c r="M50" s="49" t="s">
        <v>88</v>
      </c>
      <c r="N50" s="25" t="s">
        <v>172</v>
      </c>
      <c r="O50" s="50" t="s">
        <v>163</v>
      </c>
      <c r="P50" s="36"/>
    </row>
    <row r="51" spans="1:16" ht="39.75" customHeight="1" x14ac:dyDescent="0.3">
      <c r="A51" s="25">
        <v>39</v>
      </c>
      <c r="B51" s="65" t="s">
        <v>124</v>
      </c>
      <c r="C51" s="43" t="s">
        <v>451</v>
      </c>
      <c r="D51" s="25">
        <v>2</v>
      </c>
      <c r="E51" s="44" t="s">
        <v>452</v>
      </c>
      <c r="F51" s="45" t="s">
        <v>453</v>
      </c>
      <c r="G51" s="46" t="s">
        <v>454</v>
      </c>
      <c r="H51" s="47">
        <v>40</v>
      </c>
      <c r="I51" s="48" t="s">
        <v>455</v>
      </c>
      <c r="J51" s="48" t="s">
        <v>345</v>
      </c>
      <c r="K51" s="25" t="s">
        <v>456</v>
      </c>
      <c r="L51" s="25" t="s">
        <v>457</v>
      </c>
      <c r="M51" s="49" t="s">
        <v>88</v>
      </c>
      <c r="N51" s="25" t="s">
        <v>162</v>
      </c>
      <c r="O51" s="50" t="s">
        <v>163</v>
      </c>
      <c r="P51" s="36"/>
    </row>
    <row r="52" spans="1:16" ht="39.75" customHeight="1" x14ac:dyDescent="0.3">
      <c r="A52" s="25">
        <v>40</v>
      </c>
      <c r="B52" s="65" t="s">
        <v>124</v>
      </c>
      <c r="C52" s="43" t="s">
        <v>458</v>
      </c>
      <c r="D52" s="25">
        <v>3</v>
      </c>
      <c r="E52" s="66" t="s">
        <v>459</v>
      </c>
      <c r="F52" s="67" t="s">
        <v>460</v>
      </c>
      <c r="G52" s="68" t="s">
        <v>461</v>
      </c>
      <c r="H52" s="47">
        <v>15</v>
      </c>
      <c r="I52" s="69" t="s">
        <v>462</v>
      </c>
      <c r="J52" s="69" t="s">
        <v>194</v>
      </c>
      <c r="K52" s="25" t="s">
        <v>463</v>
      </c>
      <c r="L52" s="25" t="s">
        <v>464</v>
      </c>
      <c r="M52" s="49" t="s">
        <v>88</v>
      </c>
      <c r="N52" s="25" t="s">
        <v>172</v>
      </c>
      <c r="O52" s="50" t="s">
        <v>163</v>
      </c>
      <c r="P52" s="36"/>
    </row>
    <row r="53" spans="1:16" ht="39.75" customHeight="1" x14ac:dyDescent="0.3">
      <c r="A53" s="25">
        <v>41</v>
      </c>
      <c r="B53" s="65" t="s">
        <v>124</v>
      </c>
      <c r="C53" s="43" t="s">
        <v>465</v>
      </c>
      <c r="D53" s="25">
        <v>4</v>
      </c>
      <c r="E53" s="44" t="s">
        <v>466</v>
      </c>
      <c r="F53" s="45" t="s">
        <v>357</v>
      </c>
      <c r="G53" s="46" t="s">
        <v>467</v>
      </c>
      <c r="H53" s="47">
        <v>20</v>
      </c>
      <c r="I53" s="48" t="s">
        <v>468</v>
      </c>
      <c r="J53" s="48" t="s">
        <v>360</v>
      </c>
      <c r="K53" s="25" t="s">
        <v>469</v>
      </c>
      <c r="L53" s="25" t="s">
        <v>470</v>
      </c>
      <c r="M53" s="49" t="s">
        <v>88</v>
      </c>
      <c r="N53" s="25" t="s">
        <v>172</v>
      </c>
      <c r="O53" s="50" t="s">
        <v>163</v>
      </c>
      <c r="P53" s="36"/>
    </row>
    <row r="54" spans="1:16" ht="21.75" customHeight="1" x14ac:dyDescent="0.3">
      <c r="A54" s="100" t="s">
        <v>471</v>
      </c>
      <c r="B54" s="100"/>
      <c r="C54" s="100"/>
      <c r="D54" s="100"/>
      <c r="E54" s="100"/>
      <c r="F54" s="100"/>
      <c r="G54" s="100"/>
      <c r="H54" s="100"/>
      <c r="I54" s="100"/>
      <c r="J54" s="100"/>
      <c r="K54" s="100"/>
      <c r="L54" s="100"/>
      <c r="M54" s="100"/>
      <c r="N54" s="100"/>
      <c r="O54" s="100"/>
      <c r="P54" s="100"/>
    </row>
    <row r="55" spans="1:16" ht="39.75" customHeight="1" x14ac:dyDescent="0.3">
      <c r="A55" s="25">
        <v>42</v>
      </c>
      <c r="B55" s="55" t="s">
        <v>128</v>
      </c>
      <c r="C55" s="43" t="s">
        <v>472</v>
      </c>
      <c r="D55" s="25">
        <v>1</v>
      </c>
      <c r="E55" s="56" t="s">
        <v>473</v>
      </c>
      <c r="F55" s="57" t="s">
        <v>474</v>
      </c>
      <c r="G55" s="58" t="s">
        <v>475</v>
      </c>
      <c r="H55" s="47">
        <v>40</v>
      </c>
      <c r="I55" s="59" t="s">
        <v>476</v>
      </c>
      <c r="J55" s="59" t="s">
        <v>345</v>
      </c>
      <c r="K55" s="25" t="s">
        <v>477</v>
      </c>
      <c r="L55" s="25" t="s">
        <v>478</v>
      </c>
      <c r="M55" s="49" t="s">
        <v>88</v>
      </c>
      <c r="N55" s="25" t="s">
        <v>162</v>
      </c>
      <c r="O55" s="50" t="s">
        <v>163</v>
      </c>
      <c r="P55" s="36"/>
    </row>
    <row r="56" spans="1:16" ht="39.75" customHeight="1" x14ac:dyDescent="0.3">
      <c r="A56" s="25">
        <v>43</v>
      </c>
      <c r="B56" s="55" t="s">
        <v>128</v>
      </c>
      <c r="C56" s="43" t="s">
        <v>479</v>
      </c>
      <c r="D56" s="25">
        <v>2</v>
      </c>
      <c r="E56" s="44" t="s">
        <v>480</v>
      </c>
      <c r="F56" s="45" t="s">
        <v>481</v>
      </c>
      <c r="G56" s="46" t="s">
        <v>482</v>
      </c>
      <c r="H56" s="47">
        <v>25</v>
      </c>
      <c r="I56" s="48" t="s">
        <v>483</v>
      </c>
      <c r="J56" s="48" t="s">
        <v>194</v>
      </c>
      <c r="K56" s="25" t="s">
        <v>484</v>
      </c>
      <c r="L56" s="25" t="s">
        <v>485</v>
      </c>
      <c r="M56" s="49" t="s">
        <v>88</v>
      </c>
      <c r="N56" s="25" t="s">
        <v>162</v>
      </c>
      <c r="O56" s="50" t="s">
        <v>163</v>
      </c>
      <c r="P56" s="36"/>
    </row>
    <row r="57" spans="1:16" ht="39.75" customHeight="1" x14ac:dyDescent="0.3">
      <c r="A57" s="25">
        <v>44</v>
      </c>
      <c r="B57" s="55" t="s">
        <v>128</v>
      </c>
      <c r="C57" s="43" t="s">
        <v>486</v>
      </c>
      <c r="D57" s="25">
        <v>3</v>
      </c>
      <c r="E57" s="56" t="s">
        <v>487</v>
      </c>
      <c r="F57" s="57" t="s">
        <v>488</v>
      </c>
      <c r="G57" s="58" t="s">
        <v>489</v>
      </c>
      <c r="H57" s="47">
        <v>30</v>
      </c>
      <c r="I57" s="59" t="s">
        <v>490</v>
      </c>
      <c r="J57" s="59" t="s">
        <v>491</v>
      </c>
      <c r="K57" s="25" t="s">
        <v>492</v>
      </c>
      <c r="L57" s="25" t="s">
        <v>493</v>
      </c>
      <c r="M57" s="49" t="s">
        <v>88</v>
      </c>
      <c r="N57" s="25" t="s">
        <v>172</v>
      </c>
      <c r="O57" s="50" t="s">
        <v>163</v>
      </c>
      <c r="P57" s="36"/>
    </row>
    <row r="58" spans="1:16" ht="39.75" customHeight="1" x14ac:dyDescent="0.3">
      <c r="A58" s="25">
        <v>45</v>
      </c>
      <c r="B58" s="55" t="s">
        <v>128</v>
      </c>
      <c r="C58" s="43" t="s">
        <v>494</v>
      </c>
      <c r="D58" s="25">
        <v>4</v>
      </c>
      <c r="E58" s="44" t="s">
        <v>495</v>
      </c>
      <c r="F58" s="45" t="s">
        <v>496</v>
      </c>
      <c r="G58" s="46" t="s">
        <v>497</v>
      </c>
      <c r="H58" s="47">
        <v>35</v>
      </c>
      <c r="I58" s="48" t="s">
        <v>498</v>
      </c>
      <c r="J58" s="48" t="s">
        <v>345</v>
      </c>
      <c r="K58" s="25" t="s">
        <v>499</v>
      </c>
      <c r="L58" s="25" t="s">
        <v>500</v>
      </c>
      <c r="M58" s="49" t="s">
        <v>88</v>
      </c>
      <c r="N58" s="25" t="s">
        <v>162</v>
      </c>
      <c r="O58" s="50" t="s">
        <v>163</v>
      </c>
      <c r="P58" s="36"/>
    </row>
    <row r="59" spans="1:16" ht="39.75" customHeight="1" x14ac:dyDescent="0.3">
      <c r="A59" s="25">
        <v>46</v>
      </c>
      <c r="B59" s="55" t="s">
        <v>128</v>
      </c>
      <c r="C59" s="43" t="s">
        <v>501</v>
      </c>
      <c r="D59" s="25">
        <v>5</v>
      </c>
      <c r="E59" s="56" t="s">
        <v>502</v>
      </c>
      <c r="F59" s="57" t="s">
        <v>503</v>
      </c>
      <c r="G59" s="58" t="s">
        <v>504</v>
      </c>
      <c r="H59" s="47">
        <v>15</v>
      </c>
      <c r="I59" s="59" t="s">
        <v>505</v>
      </c>
      <c r="J59" s="59" t="s">
        <v>194</v>
      </c>
      <c r="K59" s="25" t="s">
        <v>506</v>
      </c>
      <c r="L59" s="25" t="s">
        <v>507</v>
      </c>
      <c r="M59" s="49" t="s">
        <v>88</v>
      </c>
      <c r="N59" s="25" t="s">
        <v>162</v>
      </c>
      <c r="O59" s="50" t="s">
        <v>163</v>
      </c>
      <c r="P59" s="36"/>
    </row>
    <row r="60" spans="1:16" ht="21.75" customHeight="1" x14ac:dyDescent="0.3">
      <c r="A60" s="102" t="s">
        <v>508</v>
      </c>
      <c r="B60" s="102"/>
      <c r="C60" s="102"/>
      <c r="D60" s="102"/>
      <c r="E60" s="102"/>
      <c r="F60" s="102"/>
      <c r="G60" s="102"/>
      <c r="H60" s="102"/>
      <c r="I60" s="102"/>
      <c r="J60" s="102"/>
      <c r="K60" s="102"/>
      <c r="L60" s="102"/>
      <c r="M60" s="102"/>
      <c r="N60" s="102"/>
      <c r="O60" s="102"/>
      <c r="P60" s="102"/>
    </row>
    <row r="61" spans="1:16" ht="39.75" customHeight="1" x14ac:dyDescent="0.3">
      <c r="A61" s="25">
        <v>47</v>
      </c>
      <c r="B61" s="65" t="s">
        <v>131</v>
      </c>
      <c r="C61" s="43" t="s">
        <v>509</v>
      </c>
      <c r="D61" s="25">
        <v>1</v>
      </c>
      <c r="E61" s="44" t="s">
        <v>510</v>
      </c>
      <c r="F61" s="45" t="s">
        <v>511</v>
      </c>
      <c r="G61" s="46" t="s">
        <v>512</v>
      </c>
      <c r="H61" s="47">
        <v>35</v>
      </c>
      <c r="I61" s="48" t="s">
        <v>513</v>
      </c>
      <c r="J61" s="48" t="s">
        <v>360</v>
      </c>
      <c r="K61" s="25" t="s">
        <v>514</v>
      </c>
      <c r="L61" s="25" t="s">
        <v>515</v>
      </c>
      <c r="M61" s="49" t="s">
        <v>88</v>
      </c>
      <c r="N61" s="25" t="s">
        <v>162</v>
      </c>
      <c r="O61" s="50" t="s">
        <v>163</v>
      </c>
      <c r="P61" s="36"/>
    </row>
    <row r="62" spans="1:16" ht="39.75" customHeight="1" x14ac:dyDescent="0.3">
      <c r="A62" s="25">
        <v>48</v>
      </c>
      <c r="B62" s="65" t="s">
        <v>131</v>
      </c>
      <c r="C62" s="43" t="s">
        <v>516</v>
      </c>
      <c r="D62" s="25">
        <v>2</v>
      </c>
      <c r="E62" s="66" t="s">
        <v>517</v>
      </c>
      <c r="F62" s="67" t="s">
        <v>518</v>
      </c>
      <c r="G62" s="68" t="s">
        <v>519</v>
      </c>
      <c r="H62" s="47">
        <v>30</v>
      </c>
      <c r="I62" s="69" t="s">
        <v>520</v>
      </c>
      <c r="J62" s="69" t="s">
        <v>194</v>
      </c>
      <c r="K62" s="25" t="s">
        <v>521</v>
      </c>
      <c r="L62" s="25" t="s">
        <v>522</v>
      </c>
      <c r="M62" s="49" t="s">
        <v>88</v>
      </c>
      <c r="N62" s="25" t="s">
        <v>162</v>
      </c>
      <c r="O62" s="50" t="s">
        <v>163</v>
      </c>
      <c r="P62" s="36"/>
    </row>
    <row r="63" spans="1:16" ht="39.75" customHeight="1" x14ac:dyDescent="0.3">
      <c r="A63" s="25">
        <v>49</v>
      </c>
      <c r="B63" s="65" t="s">
        <v>131</v>
      </c>
      <c r="C63" s="43" t="s">
        <v>523</v>
      </c>
      <c r="D63" s="25">
        <v>3</v>
      </c>
      <c r="E63" s="44" t="s">
        <v>524</v>
      </c>
      <c r="F63" s="45" t="s">
        <v>525</v>
      </c>
      <c r="G63" s="46" t="s">
        <v>526</v>
      </c>
      <c r="H63" s="47">
        <v>20</v>
      </c>
      <c r="I63" s="48" t="s">
        <v>527</v>
      </c>
      <c r="J63" s="48" t="s">
        <v>194</v>
      </c>
      <c r="K63" s="25" t="s">
        <v>528</v>
      </c>
      <c r="L63" s="25" t="s">
        <v>529</v>
      </c>
      <c r="M63" s="49" t="s">
        <v>88</v>
      </c>
      <c r="N63" s="25" t="s">
        <v>162</v>
      </c>
      <c r="O63" s="50" t="s">
        <v>163</v>
      </c>
      <c r="P63" s="36"/>
    </row>
    <row r="64" spans="1:16" ht="39.75" customHeight="1" x14ac:dyDescent="0.3">
      <c r="A64" s="25">
        <v>50</v>
      </c>
      <c r="B64" s="65" t="s">
        <v>131</v>
      </c>
      <c r="C64" s="43" t="s">
        <v>530</v>
      </c>
      <c r="D64" s="25">
        <v>4</v>
      </c>
      <c r="E64" s="66" t="s">
        <v>531</v>
      </c>
      <c r="F64" s="67" t="s">
        <v>532</v>
      </c>
      <c r="G64" s="68" t="s">
        <v>533</v>
      </c>
      <c r="H64" s="47">
        <v>20</v>
      </c>
      <c r="I64" s="69" t="s">
        <v>534</v>
      </c>
      <c r="J64" s="69" t="s">
        <v>159</v>
      </c>
      <c r="K64" s="25" t="s">
        <v>535</v>
      </c>
      <c r="L64" s="25" t="s">
        <v>536</v>
      </c>
      <c r="M64" s="49" t="s">
        <v>88</v>
      </c>
      <c r="N64" s="25" t="s">
        <v>172</v>
      </c>
      <c r="O64" s="50" t="s">
        <v>163</v>
      </c>
      <c r="P64" s="36"/>
    </row>
    <row r="65" spans="1:16" ht="21.75" customHeight="1" x14ac:dyDescent="0.3">
      <c r="A65" s="102" t="s">
        <v>537</v>
      </c>
      <c r="B65" s="102"/>
      <c r="C65" s="102"/>
      <c r="D65" s="102"/>
      <c r="E65" s="102"/>
      <c r="F65" s="102"/>
      <c r="G65" s="102"/>
      <c r="H65" s="102"/>
      <c r="I65" s="102"/>
      <c r="J65" s="102"/>
      <c r="K65" s="102"/>
      <c r="L65" s="102"/>
      <c r="M65" s="102"/>
      <c r="N65" s="102"/>
      <c r="O65" s="102"/>
      <c r="P65" s="102"/>
    </row>
    <row r="66" spans="1:16" ht="39.75" customHeight="1" x14ac:dyDescent="0.3">
      <c r="A66" s="25">
        <v>51</v>
      </c>
      <c r="B66" s="65" t="s">
        <v>134</v>
      </c>
      <c r="C66" s="43" t="s">
        <v>538</v>
      </c>
      <c r="D66" s="25">
        <v>1</v>
      </c>
      <c r="E66" s="44" t="s">
        <v>539</v>
      </c>
      <c r="F66" s="45" t="s">
        <v>540</v>
      </c>
      <c r="G66" s="46" t="s">
        <v>541</v>
      </c>
      <c r="H66" s="47">
        <v>30</v>
      </c>
      <c r="I66" s="48" t="s">
        <v>542</v>
      </c>
      <c r="J66" s="48" t="s">
        <v>543</v>
      </c>
      <c r="K66" s="25" t="s">
        <v>544</v>
      </c>
      <c r="L66" s="25" t="s">
        <v>545</v>
      </c>
      <c r="M66" s="49" t="s">
        <v>88</v>
      </c>
      <c r="N66" s="25" t="s">
        <v>162</v>
      </c>
      <c r="O66" s="50" t="s">
        <v>163</v>
      </c>
      <c r="P66" s="36"/>
    </row>
    <row r="67" spans="1:16" ht="39.75" customHeight="1" x14ac:dyDescent="0.3">
      <c r="A67" s="25">
        <v>52</v>
      </c>
      <c r="B67" s="65" t="s">
        <v>134</v>
      </c>
      <c r="C67" s="43" t="s">
        <v>546</v>
      </c>
      <c r="D67" s="25">
        <v>2</v>
      </c>
      <c r="E67" s="66" t="s">
        <v>547</v>
      </c>
      <c r="F67" s="67" t="s">
        <v>548</v>
      </c>
      <c r="G67" s="68" t="s">
        <v>549</v>
      </c>
      <c r="H67" s="47">
        <v>25</v>
      </c>
      <c r="I67" s="69" t="s">
        <v>550</v>
      </c>
      <c r="J67" s="69" t="s">
        <v>289</v>
      </c>
      <c r="K67" s="25" t="s">
        <v>551</v>
      </c>
      <c r="L67" s="25" t="s">
        <v>552</v>
      </c>
      <c r="M67" s="49" t="s">
        <v>88</v>
      </c>
      <c r="N67" s="25" t="s">
        <v>162</v>
      </c>
      <c r="O67" s="50" t="s">
        <v>163</v>
      </c>
      <c r="P67" s="36"/>
    </row>
    <row r="68" spans="1:16" ht="39.75" customHeight="1" x14ac:dyDescent="0.3">
      <c r="A68" s="25">
        <v>53</v>
      </c>
      <c r="B68" s="65" t="s">
        <v>134</v>
      </c>
      <c r="C68" s="43" t="s">
        <v>553</v>
      </c>
      <c r="D68" s="25">
        <v>3</v>
      </c>
      <c r="E68" s="44" t="s">
        <v>554</v>
      </c>
      <c r="F68" s="45" t="s">
        <v>555</v>
      </c>
      <c r="G68" s="46" t="s">
        <v>556</v>
      </c>
      <c r="H68" s="47">
        <v>30</v>
      </c>
      <c r="I68" s="48" t="s">
        <v>557</v>
      </c>
      <c r="J68" s="48" t="s">
        <v>289</v>
      </c>
      <c r="K68" s="25" t="s">
        <v>558</v>
      </c>
      <c r="L68" s="25" t="s">
        <v>559</v>
      </c>
      <c r="M68" s="49" t="s">
        <v>88</v>
      </c>
      <c r="N68" s="25" t="s">
        <v>162</v>
      </c>
      <c r="O68" s="50" t="s">
        <v>163</v>
      </c>
      <c r="P68" s="36"/>
    </row>
    <row r="69" spans="1:16" ht="39.75" customHeight="1" x14ac:dyDescent="0.3">
      <c r="A69" s="25">
        <v>54</v>
      </c>
      <c r="B69" s="65" t="s">
        <v>134</v>
      </c>
      <c r="C69" s="43" t="s">
        <v>560</v>
      </c>
      <c r="D69" s="25">
        <v>4</v>
      </c>
      <c r="E69" s="66" t="s">
        <v>561</v>
      </c>
      <c r="F69" s="67" t="s">
        <v>562</v>
      </c>
      <c r="G69" s="68" t="s">
        <v>563</v>
      </c>
      <c r="H69" s="47">
        <v>20</v>
      </c>
      <c r="I69" s="69" t="s">
        <v>564</v>
      </c>
      <c r="J69" s="69" t="s">
        <v>289</v>
      </c>
      <c r="K69" s="25" t="s">
        <v>565</v>
      </c>
      <c r="L69" s="25" t="s">
        <v>566</v>
      </c>
      <c r="M69" s="49" t="s">
        <v>88</v>
      </c>
      <c r="N69" s="25" t="s">
        <v>172</v>
      </c>
      <c r="O69" s="50" t="s">
        <v>163</v>
      </c>
      <c r="P69" s="36"/>
    </row>
  </sheetData>
  <mergeCells count="13">
    <mergeCell ref="A54:P54"/>
    <mergeCell ref="A60:P60"/>
    <mergeCell ref="A65:P65"/>
    <mergeCell ref="A25:P25"/>
    <mergeCell ref="A31:P31"/>
    <mergeCell ref="A37:P37"/>
    <mergeCell ref="A42:P42"/>
    <mergeCell ref="A49:P49"/>
    <mergeCell ref="A1:P2"/>
    <mergeCell ref="A3:P3"/>
    <mergeCell ref="A5:P5"/>
    <mergeCell ref="A12:P12"/>
    <mergeCell ref="A18:P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1D1D"/>
  </sheetPr>
  <dimension ref="A1:M25"/>
  <sheetViews>
    <sheetView showGridLines="0" workbookViewId="0">
      <pane xSplit="2" ySplit="4" topLeftCell="C5" activePane="bottomRight" state="frozen"/>
      <selection pane="topRight" activeCell="C1" sqref="C1"/>
      <selection pane="bottomLeft" activeCell="A5" sqref="A5"/>
      <selection pane="bottomRight" activeCell="C11" sqref="C11"/>
    </sheetView>
  </sheetViews>
  <sheetFormatPr defaultColWidth="8.6640625" defaultRowHeight="14.4" x14ac:dyDescent="0.3"/>
  <cols>
    <col min="1" max="1" width="4" customWidth="1"/>
    <col min="2" max="2" width="12" customWidth="1"/>
    <col min="3" max="3" width="32" customWidth="1"/>
    <col min="4" max="4" width="24" customWidth="1"/>
    <col min="5" max="5" width="14" customWidth="1"/>
    <col min="6" max="6" width="12" customWidth="1"/>
    <col min="7" max="7" width="14" customWidth="1"/>
    <col min="8" max="8" width="12" customWidth="1"/>
    <col min="9" max="9" width="18.44140625" bestFit="1" customWidth="1"/>
    <col min="10" max="11" width="18" customWidth="1"/>
    <col min="12" max="12" width="12" customWidth="1"/>
    <col min="13" max="13" width="50.88671875" bestFit="1" customWidth="1"/>
  </cols>
  <sheetData>
    <row r="1" spans="1:13" x14ac:dyDescent="0.3">
      <c r="A1" s="97" t="s">
        <v>567</v>
      </c>
      <c r="B1" s="97"/>
      <c r="C1" s="97"/>
      <c r="D1" s="97"/>
      <c r="E1" s="97"/>
      <c r="F1" s="97"/>
      <c r="G1" s="97"/>
      <c r="H1" s="97"/>
      <c r="I1" s="97"/>
      <c r="J1" s="97"/>
      <c r="K1" s="97"/>
      <c r="L1" s="97"/>
      <c r="M1" s="97"/>
    </row>
    <row r="2" spans="1:13" x14ac:dyDescent="0.3">
      <c r="A2" s="97"/>
      <c r="B2" s="97"/>
      <c r="C2" s="97"/>
      <c r="D2" s="97"/>
      <c r="E2" s="97"/>
      <c r="F2" s="97"/>
      <c r="G2" s="97"/>
      <c r="H2" s="97"/>
      <c r="I2" s="97"/>
      <c r="J2" s="97"/>
      <c r="K2" s="97"/>
      <c r="L2" s="97"/>
      <c r="M2" s="97"/>
    </row>
    <row r="3" spans="1:13" x14ac:dyDescent="0.3">
      <c r="A3" s="98" t="s">
        <v>568</v>
      </c>
      <c r="B3" s="98"/>
      <c r="C3" s="98"/>
      <c r="D3" s="98"/>
      <c r="E3" s="98"/>
      <c r="F3" s="98"/>
      <c r="G3" s="98"/>
      <c r="H3" s="98"/>
      <c r="I3" s="98"/>
      <c r="J3" s="98"/>
      <c r="K3" s="98"/>
      <c r="L3" s="98"/>
      <c r="M3" s="98"/>
    </row>
    <row r="4" spans="1:13" ht="36" customHeight="1" x14ac:dyDescent="0.3">
      <c r="A4" s="24" t="s">
        <v>69</v>
      </c>
      <c r="B4" s="24" t="s">
        <v>569</v>
      </c>
      <c r="C4" s="24" t="s">
        <v>570</v>
      </c>
      <c r="D4" s="24" t="s">
        <v>571</v>
      </c>
      <c r="E4" s="24" t="s">
        <v>572</v>
      </c>
      <c r="F4" s="24" t="s">
        <v>573</v>
      </c>
      <c r="G4" s="24" t="s">
        <v>574</v>
      </c>
      <c r="H4" s="24" t="s">
        <v>575</v>
      </c>
      <c r="I4" s="24" t="s">
        <v>576</v>
      </c>
      <c r="J4" s="24" t="s">
        <v>577</v>
      </c>
      <c r="K4" s="24" t="s">
        <v>578</v>
      </c>
      <c r="L4" s="24" t="s">
        <v>80</v>
      </c>
      <c r="M4" s="24" t="s">
        <v>81</v>
      </c>
    </row>
    <row r="5" spans="1:13" ht="19.5" customHeight="1" x14ac:dyDescent="0.3">
      <c r="A5" s="25">
        <v>1</v>
      </c>
      <c r="B5" s="70" t="s">
        <v>579</v>
      </c>
      <c r="C5" s="71" t="s">
        <v>580</v>
      </c>
      <c r="D5" s="4" t="s">
        <v>83</v>
      </c>
      <c r="E5" s="4" t="s">
        <v>581</v>
      </c>
      <c r="F5" s="28">
        <v>12</v>
      </c>
      <c r="G5" s="30">
        <v>5</v>
      </c>
      <c r="H5" s="32" t="s">
        <v>582</v>
      </c>
      <c r="I5" s="4" t="s">
        <v>583</v>
      </c>
      <c r="J5" s="4" t="s">
        <v>584</v>
      </c>
      <c r="K5" s="4" t="s">
        <v>585</v>
      </c>
      <c r="L5" s="30" t="s">
        <v>586</v>
      </c>
      <c r="M5" s="4" t="s">
        <v>587</v>
      </c>
    </row>
    <row r="6" spans="1:13" ht="19.5" customHeight="1" x14ac:dyDescent="0.3">
      <c r="A6" s="25">
        <v>2</v>
      </c>
      <c r="B6" s="70" t="s">
        <v>588</v>
      </c>
      <c r="C6" s="72" t="s">
        <v>589</v>
      </c>
      <c r="D6" s="4" t="s">
        <v>83</v>
      </c>
      <c r="E6" s="4" t="s">
        <v>590</v>
      </c>
      <c r="F6" s="28">
        <v>4</v>
      </c>
      <c r="G6" s="30">
        <v>2</v>
      </c>
      <c r="H6" s="32" t="s">
        <v>582</v>
      </c>
      <c r="I6" s="4" t="s">
        <v>591</v>
      </c>
      <c r="J6" s="4" t="s">
        <v>592</v>
      </c>
      <c r="K6" s="4" t="s">
        <v>593</v>
      </c>
      <c r="L6" s="30" t="s">
        <v>586</v>
      </c>
      <c r="M6" s="36" t="s">
        <v>594</v>
      </c>
    </row>
    <row r="7" spans="1:13" ht="19.5" customHeight="1" x14ac:dyDescent="0.3">
      <c r="A7" s="25">
        <v>3</v>
      </c>
      <c r="B7" s="70" t="s">
        <v>595</v>
      </c>
      <c r="C7" s="71" t="s">
        <v>596</v>
      </c>
      <c r="D7" s="4" t="s">
        <v>83</v>
      </c>
      <c r="E7" s="4" t="s">
        <v>590</v>
      </c>
      <c r="F7" s="28">
        <v>6</v>
      </c>
      <c r="G7" s="30">
        <v>2</v>
      </c>
      <c r="H7" s="32" t="s">
        <v>582</v>
      </c>
      <c r="I7" s="4" t="s">
        <v>591</v>
      </c>
      <c r="J7" s="4" t="s">
        <v>597</v>
      </c>
      <c r="K7" s="4" t="s">
        <v>593</v>
      </c>
      <c r="L7" s="30" t="s">
        <v>586</v>
      </c>
      <c r="M7" s="4" t="s">
        <v>598</v>
      </c>
    </row>
    <row r="8" spans="1:13" ht="19.5" customHeight="1" x14ac:dyDescent="0.3">
      <c r="A8" s="25">
        <v>4</v>
      </c>
      <c r="B8" s="70" t="s">
        <v>599</v>
      </c>
      <c r="C8" s="72" t="s">
        <v>600</v>
      </c>
      <c r="D8" s="4" t="s">
        <v>83</v>
      </c>
      <c r="E8" s="4" t="s">
        <v>590</v>
      </c>
      <c r="F8" s="28">
        <v>20</v>
      </c>
      <c r="G8" s="30">
        <v>10</v>
      </c>
      <c r="H8" s="32" t="s">
        <v>582</v>
      </c>
      <c r="I8" s="4" t="s">
        <v>601</v>
      </c>
      <c r="J8" s="4" t="s">
        <v>602</v>
      </c>
      <c r="K8" s="4" t="s">
        <v>603</v>
      </c>
      <c r="L8" s="30" t="s">
        <v>586</v>
      </c>
      <c r="M8" s="36" t="s">
        <v>604</v>
      </c>
    </row>
    <row r="9" spans="1:13" ht="19.5" customHeight="1" x14ac:dyDescent="0.3">
      <c r="A9" s="25">
        <v>5</v>
      </c>
      <c r="B9" s="70" t="s">
        <v>605</v>
      </c>
      <c r="C9" s="73" t="s">
        <v>606</v>
      </c>
      <c r="D9" s="4" t="s">
        <v>94</v>
      </c>
      <c r="E9" s="4" t="s">
        <v>581</v>
      </c>
      <c r="F9" s="74">
        <v>2</v>
      </c>
      <c r="G9" s="30">
        <v>5</v>
      </c>
      <c r="H9" s="74" t="s">
        <v>607</v>
      </c>
      <c r="I9" s="4" t="s">
        <v>608</v>
      </c>
      <c r="J9" s="4" t="s">
        <v>609</v>
      </c>
      <c r="K9" s="4" t="s">
        <v>610</v>
      </c>
      <c r="L9" s="30" t="s">
        <v>586</v>
      </c>
      <c r="M9" s="75" t="s">
        <v>611</v>
      </c>
    </row>
    <row r="10" spans="1:13" ht="19.5" customHeight="1" x14ac:dyDescent="0.3">
      <c r="A10" s="25">
        <v>6</v>
      </c>
      <c r="B10" s="70" t="s">
        <v>612</v>
      </c>
      <c r="C10" s="73" t="s">
        <v>613</v>
      </c>
      <c r="D10" s="4" t="s">
        <v>94</v>
      </c>
      <c r="E10" s="4" t="s">
        <v>590</v>
      </c>
      <c r="F10" s="74">
        <v>1</v>
      </c>
      <c r="G10" s="30">
        <v>3</v>
      </c>
      <c r="H10" s="74" t="s">
        <v>607</v>
      </c>
      <c r="I10" s="4" t="s">
        <v>608</v>
      </c>
      <c r="J10" s="4" t="s">
        <v>614</v>
      </c>
      <c r="K10" s="4" t="s">
        <v>615</v>
      </c>
      <c r="L10" s="30" t="s">
        <v>586</v>
      </c>
      <c r="M10" s="75" t="s">
        <v>616</v>
      </c>
    </row>
    <row r="11" spans="1:13" ht="19.5" customHeight="1" x14ac:dyDescent="0.3">
      <c r="A11" s="25">
        <v>7</v>
      </c>
      <c r="B11" s="70" t="s">
        <v>617</v>
      </c>
      <c r="C11" s="71" t="s">
        <v>618</v>
      </c>
      <c r="D11" s="4" t="s">
        <v>94</v>
      </c>
      <c r="E11" s="4" t="s">
        <v>590</v>
      </c>
      <c r="F11" s="28">
        <v>5</v>
      </c>
      <c r="G11" s="30">
        <v>2</v>
      </c>
      <c r="H11" s="32" t="s">
        <v>582</v>
      </c>
      <c r="I11" s="4" t="s">
        <v>619</v>
      </c>
      <c r="J11" s="4" t="s">
        <v>620</v>
      </c>
      <c r="K11" s="4" t="s">
        <v>615</v>
      </c>
      <c r="L11" s="30" t="s">
        <v>586</v>
      </c>
      <c r="M11" s="4" t="s">
        <v>621</v>
      </c>
    </row>
    <row r="12" spans="1:13" ht="19.5" customHeight="1" x14ac:dyDescent="0.3">
      <c r="A12" s="25">
        <v>8</v>
      </c>
      <c r="B12" s="70" t="s">
        <v>622</v>
      </c>
      <c r="C12" s="72" t="s">
        <v>623</v>
      </c>
      <c r="D12" s="4" t="s">
        <v>99</v>
      </c>
      <c r="E12" s="4" t="s">
        <v>590</v>
      </c>
      <c r="F12" s="28">
        <v>3</v>
      </c>
      <c r="G12" s="30">
        <v>2</v>
      </c>
      <c r="H12" s="32" t="s">
        <v>582</v>
      </c>
      <c r="I12" s="4" t="s">
        <v>619</v>
      </c>
      <c r="J12" s="4" t="s">
        <v>624</v>
      </c>
      <c r="K12" s="4" t="s">
        <v>625</v>
      </c>
      <c r="L12" s="30" t="s">
        <v>586</v>
      </c>
      <c r="M12" s="36" t="s">
        <v>626</v>
      </c>
    </row>
    <row r="13" spans="1:13" ht="19.5" customHeight="1" x14ac:dyDescent="0.3">
      <c r="A13" s="25">
        <v>9</v>
      </c>
      <c r="B13" s="70" t="s">
        <v>627</v>
      </c>
      <c r="C13" s="71" t="s">
        <v>628</v>
      </c>
      <c r="D13" s="4" t="s">
        <v>83</v>
      </c>
      <c r="E13" s="4" t="s">
        <v>590</v>
      </c>
      <c r="F13" s="28">
        <v>8</v>
      </c>
      <c r="G13" s="30">
        <v>3</v>
      </c>
      <c r="H13" s="32" t="s">
        <v>582</v>
      </c>
      <c r="I13" s="4" t="s">
        <v>629</v>
      </c>
      <c r="J13" s="4" t="s">
        <v>630</v>
      </c>
      <c r="K13" s="4" t="s">
        <v>631</v>
      </c>
      <c r="L13" s="30" t="s">
        <v>586</v>
      </c>
      <c r="M13" s="4" t="s">
        <v>632</v>
      </c>
    </row>
    <row r="14" spans="1:13" ht="19.5" customHeight="1" x14ac:dyDescent="0.3">
      <c r="A14" s="25">
        <v>10</v>
      </c>
      <c r="B14" s="70" t="s">
        <v>633</v>
      </c>
      <c r="C14" s="72" t="s">
        <v>634</v>
      </c>
      <c r="D14" s="4" t="s">
        <v>99</v>
      </c>
      <c r="E14" s="4" t="s">
        <v>581</v>
      </c>
      <c r="F14" s="28">
        <v>15</v>
      </c>
      <c r="G14" s="30">
        <v>5</v>
      </c>
      <c r="H14" s="32" t="s">
        <v>582</v>
      </c>
      <c r="I14" s="4" t="s">
        <v>583</v>
      </c>
      <c r="J14" s="4" t="s">
        <v>635</v>
      </c>
      <c r="K14" s="4" t="s">
        <v>610</v>
      </c>
      <c r="L14" s="30" t="s">
        <v>586</v>
      </c>
      <c r="M14" s="36" t="s">
        <v>636</v>
      </c>
    </row>
    <row r="15" spans="1:13" ht="19.5" customHeight="1" x14ac:dyDescent="0.3">
      <c r="A15" s="25">
        <v>11</v>
      </c>
      <c r="B15" s="70" t="s">
        <v>637</v>
      </c>
      <c r="C15" s="71" t="s">
        <v>638</v>
      </c>
      <c r="D15" s="4" t="s">
        <v>639</v>
      </c>
      <c r="E15" s="4" t="s">
        <v>581</v>
      </c>
      <c r="F15" s="28">
        <v>20</v>
      </c>
      <c r="G15" s="30">
        <v>8</v>
      </c>
      <c r="H15" s="32" t="s">
        <v>582</v>
      </c>
      <c r="I15" s="4" t="s">
        <v>583</v>
      </c>
      <c r="J15" s="4" t="s">
        <v>640</v>
      </c>
      <c r="K15" s="4" t="s">
        <v>641</v>
      </c>
      <c r="L15" s="30" t="s">
        <v>586</v>
      </c>
      <c r="M15" s="4" t="s">
        <v>642</v>
      </c>
    </row>
    <row r="16" spans="1:13" ht="19.5" customHeight="1" x14ac:dyDescent="0.3">
      <c r="A16" s="25">
        <v>12</v>
      </c>
      <c r="B16" s="70" t="s">
        <v>643</v>
      </c>
      <c r="C16" s="72" t="s">
        <v>644</v>
      </c>
      <c r="D16" s="4" t="s">
        <v>94</v>
      </c>
      <c r="E16" s="4" t="s">
        <v>645</v>
      </c>
      <c r="F16" s="28">
        <v>6</v>
      </c>
      <c r="G16" s="30">
        <v>2</v>
      </c>
      <c r="H16" s="32" t="s">
        <v>582</v>
      </c>
      <c r="I16" s="4" t="s">
        <v>646</v>
      </c>
      <c r="J16" s="4" t="s">
        <v>647</v>
      </c>
      <c r="K16" s="4" t="s">
        <v>648</v>
      </c>
      <c r="L16" s="30" t="s">
        <v>586</v>
      </c>
      <c r="M16" s="36" t="s">
        <v>649</v>
      </c>
    </row>
    <row r="17" spans="1:13" ht="19.5" customHeight="1" x14ac:dyDescent="0.3">
      <c r="A17" s="25">
        <v>13</v>
      </c>
      <c r="B17" s="70" t="s">
        <v>650</v>
      </c>
      <c r="C17" s="71" t="s">
        <v>651</v>
      </c>
      <c r="D17" s="4" t="s">
        <v>106</v>
      </c>
      <c r="E17" s="4" t="s">
        <v>652</v>
      </c>
      <c r="F17" s="28">
        <v>5</v>
      </c>
      <c r="G17" s="30">
        <v>2</v>
      </c>
      <c r="H17" s="32" t="s">
        <v>582</v>
      </c>
      <c r="I17" s="4" t="s">
        <v>653</v>
      </c>
      <c r="J17" s="4" t="s">
        <v>654</v>
      </c>
      <c r="K17" s="4" t="s">
        <v>655</v>
      </c>
      <c r="L17" s="30" t="s">
        <v>586</v>
      </c>
      <c r="M17" s="4" t="s">
        <v>656</v>
      </c>
    </row>
    <row r="18" spans="1:13" ht="19.5" customHeight="1" x14ac:dyDescent="0.3">
      <c r="A18" s="25">
        <v>14</v>
      </c>
      <c r="B18" s="70" t="s">
        <v>657</v>
      </c>
      <c r="C18" s="72" t="s">
        <v>658</v>
      </c>
      <c r="D18" s="4" t="s">
        <v>106</v>
      </c>
      <c r="E18" s="4" t="s">
        <v>659</v>
      </c>
      <c r="F18" s="28">
        <v>200</v>
      </c>
      <c r="G18" s="30">
        <v>50</v>
      </c>
      <c r="H18" s="32" t="s">
        <v>582</v>
      </c>
      <c r="I18" s="4" t="s">
        <v>653</v>
      </c>
      <c r="J18" s="4" t="s">
        <v>660</v>
      </c>
      <c r="K18" s="4" t="s">
        <v>661</v>
      </c>
      <c r="L18" s="30" t="s">
        <v>586</v>
      </c>
      <c r="M18" s="36" t="s">
        <v>662</v>
      </c>
    </row>
    <row r="19" spans="1:13" ht="19.5" customHeight="1" x14ac:dyDescent="0.3">
      <c r="A19" s="25">
        <v>15</v>
      </c>
      <c r="B19" s="70" t="s">
        <v>663</v>
      </c>
      <c r="C19" s="71" t="s">
        <v>664</v>
      </c>
      <c r="D19" s="4" t="s">
        <v>665</v>
      </c>
      <c r="E19" s="4" t="s">
        <v>666</v>
      </c>
      <c r="F19" s="28">
        <v>100</v>
      </c>
      <c r="G19" s="30">
        <v>30</v>
      </c>
      <c r="H19" s="32" t="s">
        <v>582</v>
      </c>
      <c r="I19" s="4" t="s">
        <v>667</v>
      </c>
      <c r="J19" s="4" t="s">
        <v>668</v>
      </c>
      <c r="K19" s="4" t="s">
        <v>669</v>
      </c>
      <c r="L19" s="30" t="s">
        <v>586</v>
      </c>
      <c r="M19" s="4" t="s">
        <v>670</v>
      </c>
    </row>
    <row r="20" spans="1:13" ht="19.5" customHeight="1" x14ac:dyDescent="0.3">
      <c r="A20" s="25">
        <v>16</v>
      </c>
      <c r="B20" s="70" t="s">
        <v>671</v>
      </c>
      <c r="C20" s="72" t="s">
        <v>672</v>
      </c>
      <c r="D20" s="4" t="s">
        <v>673</v>
      </c>
      <c r="E20" s="4" t="s">
        <v>659</v>
      </c>
      <c r="F20" s="28">
        <v>50</v>
      </c>
      <c r="G20" s="30">
        <v>10</v>
      </c>
      <c r="H20" s="32" t="s">
        <v>582</v>
      </c>
      <c r="I20" s="4" t="s">
        <v>629</v>
      </c>
      <c r="J20" s="4" t="s">
        <v>674</v>
      </c>
      <c r="K20" s="4" t="s">
        <v>675</v>
      </c>
      <c r="L20" s="30" t="s">
        <v>586</v>
      </c>
      <c r="M20" s="36" t="s">
        <v>676</v>
      </c>
    </row>
    <row r="21" spans="1:13" ht="19.5" customHeight="1" x14ac:dyDescent="0.3">
      <c r="A21" s="25">
        <v>17</v>
      </c>
      <c r="B21" s="70" t="s">
        <v>677</v>
      </c>
      <c r="C21" s="71" t="s">
        <v>678</v>
      </c>
      <c r="D21" s="4" t="s">
        <v>120</v>
      </c>
      <c r="E21" s="4" t="s">
        <v>590</v>
      </c>
      <c r="F21" s="28">
        <v>3</v>
      </c>
      <c r="G21" s="30">
        <v>2</v>
      </c>
      <c r="H21" s="32" t="s">
        <v>582</v>
      </c>
      <c r="I21" s="4" t="s">
        <v>679</v>
      </c>
      <c r="J21" s="4" t="s">
        <v>680</v>
      </c>
      <c r="K21" s="4" t="s">
        <v>681</v>
      </c>
      <c r="L21" s="30" t="s">
        <v>586</v>
      </c>
      <c r="M21" s="4" t="s">
        <v>682</v>
      </c>
    </row>
    <row r="22" spans="1:13" ht="19.5" customHeight="1" x14ac:dyDescent="0.3">
      <c r="A22" s="25">
        <v>18</v>
      </c>
      <c r="B22" s="70" t="s">
        <v>683</v>
      </c>
      <c r="C22" s="72" t="s">
        <v>684</v>
      </c>
      <c r="D22" s="4" t="s">
        <v>128</v>
      </c>
      <c r="E22" s="4" t="s">
        <v>659</v>
      </c>
      <c r="F22" s="28">
        <v>100</v>
      </c>
      <c r="G22" s="30">
        <v>20</v>
      </c>
      <c r="H22" s="32" t="s">
        <v>582</v>
      </c>
      <c r="I22" s="4" t="s">
        <v>685</v>
      </c>
      <c r="J22" s="4" t="s">
        <v>686</v>
      </c>
      <c r="K22" s="4" t="s">
        <v>687</v>
      </c>
      <c r="L22" s="30" t="s">
        <v>586</v>
      </c>
      <c r="M22" s="36" t="s">
        <v>688</v>
      </c>
    </row>
    <row r="23" spans="1:13" ht="19.5" customHeight="1" x14ac:dyDescent="0.3">
      <c r="A23" s="25">
        <v>19</v>
      </c>
      <c r="B23" s="70" t="s">
        <v>689</v>
      </c>
      <c r="C23" s="71" t="s">
        <v>690</v>
      </c>
      <c r="D23" s="4" t="s">
        <v>134</v>
      </c>
      <c r="E23" s="4" t="s">
        <v>659</v>
      </c>
      <c r="F23" s="28">
        <v>50</v>
      </c>
      <c r="G23" s="30">
        <v>10</v>
      </c>
      <c r="H23" s="32" t="s">
        <v>582</v>
      </c>
      <c r="I23" s="4" t="s">
        <v>691</v>
      </c>
      <c r="J23" s="4" t="s">
        <v>692</v>
      </c>
      <c r="K23" s="4" t="s">
        <v>693</v>
      </c>
      <c r="L23" s="30" t="s">
        <v>586</v>
      </c>
      <c r="M23" s="4" t="s">
        <v>694</v>
      </c>
    </row>
    <row r="24" spans="1:13" ht="19.5" customHeight="1" x14ac:dyDescent="0.3">
      <c r="A24" s="25">
        <v>20</v>
      </c>
      <c r="B24" s="70" t="s">
        <v>695</v>
      </c>
      <c r="C24" s="72" t="s">
        <v>696</v>
      </c>
      <c r="D24" s="4" t="s">
        <v>697</v>
      </c>
      <c r="E24" s="4" t="s">
        <v>590</v>
      </c>
      <c r="F24" s="28">
        <v>200</v>
      </c>
      <c r="G24" s="30">
        <v>50</v>
      </c>
      <c r="H24" s="32" t="s">
        <v>582</v>
      </c>
      <c r="I24" s="4" t="s">
        <v>583</v>
      </c>
      <c r="J24" s="4" t="s">
        <v>698</v>
      </c>
      <c r="K24" s="4" t="s">
        <v>699</v>
      </c>
      <c r="L24" s="30" t="s">
        <v>586</v>
      </c>
      <c r="M24" s="36" t="s">
        <v>700</v>
      </c>
    </row>
    <row r="25" spans="1:13" ht="21.75" customHeight="1" x14ac:dyDescent="0.3">
      <c r="A25" s="110" t="s">
        <v>701</v>
      </c>
      <c r="B25" s="110"/>
      <c r="C25" s="110"/>
      <c r="D25" s="110"/>
      <c r="E25" s="110"/>
      <c r="F25" s="110"/>
      <c r="G25" s="110"/>
      <c r="H25" s="76">
        <f>COUNTIF(H5:H24,"Low Stock")</f>
        <v>2</v>
      </c>
      <c r="I25" s="77" t="s">
        <v>702</v>
      </c>
    </row>
  </sheetData>
  <mergeCells count="3">
    <mergeCell ref="A1:M2"/>
    <mergeCell ref="A3:M3"/>
    <mergeCell ref="A25:G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D4E00"/>
  </sheetPr>
  <dimension ref="A1:N23"/>
  <sheetViews>
    <sheetView showGridLines="0" workbookViewId="0">
      <pane xSplit="2" ySplit="4" topLeftCell="C5" activePane="bottomRight" state="frozen"/>
      <selection pane="topRight" activeCell="C1" sqref="C1"/>
      <selection pane="bottomLeft" activeCell="A5" sqref="A5"/>
      <selection pane="bottomRight" activeCell="C5" sqref="C5:C22"/>
    </sheetView>
  </sheetViews>
  <sheetFormatPr defaultColWidth="8.6640625" defaultRowHeight="14.4" x14ac:dyDescent="0.3"/>
  <cols>
    <col min="1" max="1" width="4" customWidth="1"/>
    <col min="2" max="2" width="12" customWidth="1"/>
    <col min="3" max="3" width="30" customWidth="1"/>
    <col min="4" max="4" width="14" customWidth="1"/>
    <col min="5" max="5" width="16" customWidth="1"/>
    <col min="6" max="6" width="14" customWidth="1"/>
    <col min="7" max="8" width="16" customWidth="1"/>
    <col min="9" max="10" width="12" customWidth="1"/>
    <col min="11" max="11" width="18" customWidth="1"/>
    <col min="12" max="12" width="16" customWidth="1"/>
    <col min="13" max="13" width="12" customWidth="1"/>
    <col min="14" max="14" width="30" customWidth="1"/>
  </cols>
  <sheetData>
    <row r="1" spans="1:14" x14ac:dyDescent="0.3">
      <c r="A1" s="97" t="s">
        <v>703</v>
      </c>
      <c r="B1" s="97"/>
      <c r="C1" s="97"/>
      <c r="D1" s="97"/>
      <c r="E1" s="97"/>
      <c r="F1" s="97"/>
      <c r="G1" s="97"/>
      <c r="H1" s="97"/>
      <c r="I1" s="97"/>
      <c r="J1" s="97"/>
      <c r="K1" s="97"/>
      <c r="L1" s="97"/>
      <c r="M1" s="97"/>
      <c r="N1" s="97"/>
    </row>
    <row r="2" spans="1:14" x14ac:dyDescent="0.3">
      <c r="A2" s="97"/>
      <c r="B2" s="97"/>
      <c r="C2" s="97"/>
      <c r="D2" s="97"/>
      <c r="E2" s="97"/>
      <c r="F2" s="97"/>
      <c r="G2" s="97"/>
      <c r="H2" s="97"/>
      <c r="I2" s="97"/>
      <c r="J2" s="97"/>
      <c r="K2" s="97"/>
      <c r="L2" s="97"/>
      <c r="M2" s="97"/>
      <c r="N2" s="97"/>
    </row>
    <row r="3" spans="1:14" x14ac:dyDescent="0.3">
      <c r="A3" s="98" t="s">
        <v>704</v>
      </c>
      <c r="B3" s="98"/>
      <c r="C3" s="98"/>
      <c r="D3" s="98"/>
      <c r="E3" s="98"/>
      <c r="F3" s="98"/>
      <c r="G3" s="98"/>
      <c r="H3" s="98"/>
      <c r="I3" s="98"/>
      <c r="J3" s="98"/>
      <c r="K3" s="98"/>
      <c r="L3" s="98"/>
      <c r="M3" s="98"/>
      <c r="N3" s="98"/>
    </row>
    <row r="4" spans="1:14" ht="39.75" customHeight="1" x14ac:dyDescent="0.3">
      <c r="A4" s="24" t="s">
        <v>69</v>
      </c>
      <c r="B4" s="24" t="s">
        <v>705</v>
      </c>
      <c r="C4" s="24" t="s">
        <v>706</v>
      </c>
      <c r="D4" s="24" t="s">
        <v>70</v>
      </c>
      <c r="E4" s="24" t="s">
        <v>707</v>
      </c>
      <c r="F4" s="24" t="s">
        <v>708</v>
      </c>
      <c r="G4" s="24" t="s">
        <v>709</v>
      </c>
      <c r="H4" s="24" t="s">
        <v>710</v>
      </c>
      <c r="I4" s="24" t="s">
        <v>575</v>
      </c>
      <c r="J4" s="24" t="s">
        <v>711</v>
      </c>
      <c r="K4" s="24" t="s">
        <v>712</v>
      </c>
      <c r="L4" s="24" t="s">
        <v>578</v>
      </c>
      <c r="M4" s="24" t="s">
        <v>80</v>
      </c>
      <c r="N4" s="24" t="s">
        <v>713</v>
      </c>
    </row>
    <row r="5" spans="1:14" ht="21.75" customHeight="1" x14ac:dyDescent="0.3">
      <c r="A5" s="25">
        <v>1</v>
      </c>
      <c r="B5" s="70" t="s">
        <v>714</v>
      </c>
      <c r="C5" s="71" t="s">
        <v>715</v>
      </c>
      <c r="D5" s="27" t="s">
        <v>83</v>
      </c>
      <c r="E5" s="30">
        <v>24</v>
      </c>
      <c r="F5" s="30" t="s">
        <v>716</v>
      </c>
      <c r="G5" s="30" t="s">
        <v>717</v>
      </c>
      <c r="H5" s="32">
        <v>7</v>
      </c>
      <c r="I5" s="32" t="s">
        <v>582</v>
      </c>
      <c r="J5" s="32" t="s">
        <v>718</v>
      </c>
      <c r="K5" s="4" t="s">
        <v>719</v>
      </c>
      <c r="L5" s="4" t="s">
        <v>720</v>
      </c>
      <c r="M5" s="30" t="s">
        <v>414</v>
      </c>
      <c r="N5" s="27" t="s">
        <v>721</v>
      </c>
    </row>
    <row r="6" spans="1:14" ht="21.75" customHeight="1" x14ac:dyDescent="0.3">
      <c r="A6" s="25">
        <v>2</v>
      </c>
      <c r="B6" s="70" t="s">
        <v>722</v>
      </c>
      <c r="C6" s="72" t="s">
        <v>723</v>
      </c>
      <c r="D6" s="27" t="s">
        <v>83</v>
      </c>
      <c r="E6" s="30">
        <v>36</v>
      </c>
      <c r="F6" s="30" t="s">
        <v>724</v>
      </c>
      <c r="G6" s="30" t="s">
        <v>653</v>
      </c>
      <c r="H6" s="32">
        <v>9</v>
      </c>
      <c r="I6" s="32" t="s">
        <v>582</v>
      </c>
      <c r="J6" s="32" t="s">
        <v>718</v>
      </c>
      <c r="K6" s="4" t="s">
        <v>725</v>
      </c>
      <c r="L6" s="4" t="s">
        <v>720</v>
      </c>
      <c r="M6" s="30" t="s">
        <v>414</v>
      </c>
      <c r="N6" s="33" t="s">
        <v>726</v>
      </c>
    </row>
    <row r="7" spans="1:14" ht="21.75" customHeight="1" x14ac:dyDescent="0.3">
      <c r="A7" s="25">
        <v>3</v>
      </c>
      <c r="B7" s="70" t="s">
        <v>727</v>
      </c>
      <c r="C7" s="78" t="s">
        <v>728</v>
      </c>
      <c r="D7" s="27" t="s">
        <v>83</v>
      </c>
      <c r="E7" s="30">
        <v>48</v>
      </c>
      <c r="F7" s="30" t="s">
        <v>729</v>
      </c>
      <c r="G7" s="30" t="s">
        <v>730</v>
      </c>
      <c r="H7" s="79">
        <v>1</v>
      </c>
      <c r="I7" s="79" t="s">
        <v>607</v>
      </c>
      <c r="J7" s="79" t="s">
        <v>731</v>
      </c>
      <c r="K7" s="4" t="s">
        <v>732</v>
      </c>
      <c r="L7" s="4" t="s">
        <v>733</v>
      </c>
      <c r="M7" s="30" t="s">
        <v>734</v>
      </c>
      <c r="N7" s="79" t="s">
        <v>735</v>
      </c>
    </row>
    <row r="8" spans="1:14" ht="21.75" customHeight="1" x14ac:dyDescent="0.3">
      <c r="A8" s="25">
        <v>4</v>
      </c>
      <c r="B8" s="70" t="s">
        <v>736</v>
      </c>
      <c r="C8" s="72" t="s">
        <v>737</v>
      </c>
      <c r="D8" s="27" t="s">
        <v>94</v>
      </c>
      <c r="E8" s="30">
        <v>36</v>
      </c>
      <c r="F8" s="30" t="s">
        <v>738</v>
      </c>
      <c r="G8" s="30" t="s">
        <v>591</v>
      </c>
      <c r="H8" s="32">
        <v>9</v>
      </c>
      <c r="I8" s="32" t="s">
        <v>582</v>
      </c>
      <c r="J8" s="32" t="s">
        <v>718</v>
      </c>
      <c r="K8" s="4" t="s">
        <v>739</v>
      </c>
      <c r="L8" s="4" t="s">
        <v>740</v>
      </c>
      <c r="M8" s="30" t="s">
        <v>414</v>
      </c>
      <c r="N8" s="33" t="s">
        <v>741</v>
      </c>
    </row>
    <row r="9" spans="1:14" ht="21.75" customHeight="1" x14ac:dyDescent="0.3">
      <c r="A9" s="25">
        <v>5</v>
      </c>
      <c r="B9" s="70" t="s">
        <v>742</v>
      </c>
      <c r="C9" s="71" t="s">
        <v>743</v>
      </c>
      <c r="D9" s="27" t="s">
        <v>94</v>
      </c>
      <c r="E9" s="30">
        <v>24</v>
      </c>
      <c r="F9" s="30" t="s">
        <v>744</v>
      </c>
      <c r="G9" s="30" t="s">
        <v>745</v>
      </c>
      <c r="H9" s="32">
        <v>17</v>
      </c>
      <c r="I9" s="32" t="s">
        <v>582</v>
      </c>
      <c r="J9" s="32" t="s">
        <v>718</v>
      </c>
      <c r="K9" s="4" t="s">
        <v>746</v>
      </c>
      <c r="L9" s="4" t="s">
        <v>740</v>
      </c>
      <c r="M9" s="30" t="s">
        <v>414</v>
      </c>
      <c r="N9" s="27" t="s">
        <v>747</v>
      </c>
    </row>
    <row r="10" spans="1:14" ht="21.75" customHeight="1" x14ac:dyDescent="0.3">
      <c r="A10" s="25">
        <v>6</v>
      </c>
      <c r="B10" s="70" t="s">
        <v>748</v>
      </c>
      <c r="C10" s="73" t="s">
        <v>749</v>
      </c>
      <c r="D10" s="27" t="s">
        <v>99</v>
      </c>
      <c r="E10" s="30">
        <v>18</v>
      </c>
      <c r="F10" s="30" t="s">
        <v>750</v>
      </c>
      <c r="G10" s="30" t="s">
        <v>751</v>
      </c>
      <c r="H10" s="74">
        <v>0</v>
      </c>
      <c r="I10" s="74" t="s">
        <v>607</v>
      </c>
      <c r="J10" s="74" t="s">
        <v>752</v>
      </c>
      <c r="K10" s="4" t="s">
        <v>753</v>
      </c>
      <c r="L10" s="4" t="s">
        <v>754</v>
      </c>
      <c r="M10" s="30" t="s">
        <v>734</v>
      </c>
      <c r="N10" s="74" t="s">
        <v>755</v>
      </c>
    </row>
    <row r="11" spans="1:14" ht="21.75" customHeight="1" x14ac:dyDescent="0.3">
      <c r="A11" s="25">
        <v>7</v>
      </c>
      <c r="B11" s="70" t="s">
        <v>756</v>
      </c>
      <c r="C11" s="78" t="s">
        <v>757</v>
      </c>
      <c r="D11" s="27" t="s">
        <v>99</v>
      </c>
      <c r="E11" s="30">
        <v>12</v>
      </c>
      <c r="F11" s="30" t="s">
        <v>758</v>
      </c>
      <c r="G11" s="30" t="s">
        <v>730</v>
      </c>
      <c r="H11" s="79">
        <v>1</v>
      </c>
      <c r="I11" s="79" t="s">
        <v>607</v>
      </c>
      <c r="J11" s="79" t="s">
        <v>731</v>
      </c>
      <c r="K11" s="4" t="s">
        <v>759</v>
      </c>
      <c r="L11" s="4" t="s">
        <v>754</v>
      </c>
      <c r="M11" s="30" t="s">
        <v>734</v>
      </c>
      <c r="N11" s="79" t="s">
        <v>760</v>
      </c>
    </row>
    <row r="12" spans="1:14" ht="21.75" customHeight="1" x14ac:dyDescent="0.3">
      <c r="A12" s="25">
        <v>8</v>
      </c>
      <c r="B12" s="70" t="s">
        <v>761</v>
      </c>
      <c r="C12" s="72" t="s">
        <v>762</v>
      </c>
      <c r="D12" s="27" t="s">
        <v>99</v>
      </c>
      <c r="E12" s="30">
        <v>6</v>
      </c>
      <c r="F12" s="30" t="s">
        <v>629</v>
      </c>
      <c r="G12" s="30" t="s">
        <v>763</v>
      </c>
      <c r="H12" s="32">
        <v>3</v>
      </c>
      <c r="I12" s="32" t="s">
        <v>582</v>
      </c>
      <c r="J12" s="32" t="s">
        <v>718</v>
      </c>
      <c r="K12" s="4" t="s">
        <v>764</v>
      </c>
      <c r="L12" s="4" t="s">
        <v>765</v>
      </c>
      <c r="M12" s="30" t="s">
        <v>414</v>
      </c>
      <c r="N12" s="33" t="s">
        <v>766</v>
      </c>
    </row>
    <row r="13" spans="1:14" ht="21.75" customHeight="1" x14ac:dyDescent="0.3">
      <c r="A13" s="25">
        <v>9</v>
      </c>
      <c r="B13" s="70" t="s">
        <v>767</v>
      </c>
      <c r="C13" s="73" t="s">
        <v>768</v>
      </c>
      <c r="D13" s="27" t="s">
        <v>99</v>
      </c>
      <c r="E13" s="30">
        <v>24</v>
      </c>
      <c r="F13" s="30" t="s">
        <v>769</v>
      </c>
      <c r="G13" s="30" t="s">
        <v>685</v>
      </c>
      <c r="H13" s="74">
        <v>0</v>
      </c>
      <c r="I13" s="74" t="s">
        <v>607</v>
      </c>
      <c r="J13" s="74" t="s">
        <v>752</v>
      </c>
      <c r="K13" s="4" t="s">
        <v>770</v>
      </c>
      <c r="L13" s="4" t="s">
        <v>771</v>
      </c>
      <c r="M13" s="30" t="s">
        <v>734</v>
      </c>
      <c r="N13" s="74" t="s">
        <v>772</v>
      </c>
    </row>
    <row r="14" spans="1:14" ht="21.75" customHeight="1" x14ac:dyDescent="0.3">
      <c r="A14" s="25">
        <v>10</v>
      </c>
      <c r="B14" s="70" t="s">
        <v>773</v>
      </c>
      <c r="C14" s="73" t="s">
        <v>774</v>
      </c>
      <c r="D14" s="27" t="s">
        <v>106</v>
      </c>
      <c r="E14" s="30">
        <v>48</v>
      </c>
      <c r="F14" s="30" t="s">
        <v>775</v>
      </c>
      <c r="G14" s="30" t="s">
        <v>619</v>
      </c>
      <c r="H14" s="74">
        <v>0</v>
      </c>
      <c r="I14" s="74" t="s">
        <v>607</v>
      </c>
      <c r="J14" s="74" t="s">
        <v>752</v>
      </c>
      <c r="K14" s="4" t="s">
        <v>776</v>
      </c>
      <c r="L14" s="4" t="s">
        <v>777</v>
      </c>
      <c r="M14" s="30" t="s">
        <v>734</v>
      </c>
      <c r="N14" s="74" t="s">
        <v>778</v>
      </c>
    </row>
    <row r="15" spans="1:14" ht="21.75" customHeight="1" x14ac:dyDescent="0.3">
      <c r="A15" s="25">
        <v>11</v>
      </c>
      <c r="B15" s="70" t="s">
        <v>779</v>
      </c>
      <c r="C15" s="73" t="s">
        <v>780</v>
      </c>
      <c r="D15" s="27" t="s">
        <v>106</v>
      </c>
      <c r="E15" s="30">
        <v>60</v>
      </c>
      <c r="F15" s="30" t="s">
        <v>781</v>
      </c>
      <c r="G15" s="30" t="s">
        <v>782</v>
      </c>
      <c r="H15" s="74">
        <v>0</v>
      </c>
      <c r="I15" s="74" t="s">
        <v>607</v>
      </c>
      <c r="J15" s="74" t="s">
        <v>752</v>
      </c>
      <c r="K15" s="4" t="s">
        <v>783</v>
      </c>
      <c r="L15" s="4" t="s">
        <v>777</v>
      </c>
      <c r="M15" s="30" t="s">
        <v>734</v>
      </c>
      <c r="N15" s="74" t="s">
        <v>784</v>
      </c>
    </row>
    <row r="16" spans="1:14" ht="21.75" customHeight="1" x14ac:dyDescent="0.3">
      <c r="A16" s="25">
        <v>12</v>
      </c>
      <c r="B16" s="70" t="s">
        <v>785</v>
      </c>
      <c r="C16" s="72" t="s">
        <v>786</v>
      </c>
      <c r="D16" s="27" t="s">
        <v>112</v>
      </c>
      <c r="E16" s="30">
        <v>30</v>
      </c>
      <c r="F16" s="30" t="s">
        <v>787</v>
      </c>
      <c r="G16" s="30" t="s">
        <v>788</v>
      </c>
      <c r="H16" s="32">
        <v>23</v>
      </c>
      <c r="I16" s="32" t="s">
        <v>582</v>
      </c>
      <c r="J16" s="32" t="s">
        <v>718</v>
      </c>
      <c r="K16" s="4" t="s">
        <v>789</v>
      </c>
      <c r="L16" s="4" t="s">
        <v>790</v>
      </c>
      <c r="M16" s="30" t="s">
        <v>414</v>
      </c>
      <c r="N16" s="33" t="s">
        <v>791</v>
      </c>
    </row>
    <row r="17" spans="1:14" ht="21.75" customHeight="1" x14ac:dyDescent="0.3">
      <c r="A17" s="25">
        <v>13</v>
      </c>
      <c r="B17" s="70" t="s">
        <v>792</v>
      </c>
      <c r="C17" s="73" t="s">
        <v>793</v>
      </c>
      <c r="D17" s="27" t="s">
        <v>112</v>
      </c>
      <c r="E17" s="30">
        <v>48</v>
      </c>
      <c r="F17" s="30" t="s">
        <v>794</v>
      </c>
      <c r="G17" s="30" t="s">
        <v>685</v>
      </c>
      <c r="H17" s="74">
        <v>0</v>
      </c>
      <c r="I17" s="74" t="s">
        <v>607</v>
      </c>
      <c r="J17" s="74" t="s">
        <v>752</v>
      </c>
      <c r="K17" s="4" t="s">
        <v>795</v>
      </c>
      <c r="L17" s="4" t="s">
        <v>790</v>
      </c>
      <c r="M17" s="30" t="s">
        <v>734</v>
      </c>
      <c r="N17" s="74" t="s">
        <v>796</v>
      </c>
    </row>
    <row r="18" spans="1:14" ht="21.75" customHeight="1" x14ac:dyDescent="0.3">
      <c r="A18" s="25">
        <v>14</v>
      </c>
      <c r="B18" s="70" t="s">
        <v>797</v>
      </c>
      <c r="C18" s="72" t="s">
        <v>798</v>
      </c>
      <c r="D18" s="27" t="s">
        <v>116</v>
      </c>
      <c r="E18" s="30">
        <v>60</v>
      </c>
      <c r="F18" s="30" t="s">
        <v>799</v>
      </c>
      <c r="G18" s="30" t="s">
        <v>800</v>
      </c>
      <c r="H18" s="32">
        <v>19</v>
      </c>
      <c r="I18" s="32" t="s">
        <v>582</v>
      </c>
      <c r="J18" s="32" t="s">
        <v>718</v>
      </c>
      <c r="K18" s="4" t="s">
        <v>801</v>
      </c>
      <c r="L18" s="4" t="s">
        <v>802</v>
      </c>
      <c r="M18" s="30" t="s">
        <v>414</v>
      </c>
      <c r="N18" s="33" t="s">
        <v>803</v>
      </c>
    </row>
    <row r="19" spans="1:14" ht="21.75" customHeight="1" x14ac:dyDescent="0.3">
      <c r="A19" s="25">
        <v>15</v>
      </c>
      <c r="B19" s="70" t="s">
        <v>804</v>
      </c>
      <c r="C19" s="73" t="s">
        <v>805</v>
      </c>
      <c r="D19" s="27" t="s">
        <v>120</v>
      </c>
      <c r="E19" s="30">
        <v>24</v>
      </c>
      <c r="F19" s="30" t="s">
        <v>806</v>
      </c>
      <c r="G19" s="30" t="s">
        <v>807</v>
      </c>
      <c r="H19" s="74">
        <v>0</v>
      </c>
      <c r="I19" s="74" t="s">
        <v>607</v>
      </c>
      <c r="J19" s="74" t="s">
        <v>752</v>
      </c>
      <c r="K19" s="4" t="s">
        <v>680</v>
      </c>
      <c r="L19" s="4" t="s">
        <v>808</v>
      </c>
      <c r="M19" s="30" t="s">
        <v>734</v>
      </c>
      <c r="N19" s="74" t="s">
        <v>809</v>
      </c>
    </row>
    <row r="20" spans="1:14" ht="21.75" customHeight="1" x14ac:dyDescent="0.3">
      <c r="A20" s="25">
        <v>16</v>
      </c>
      <c r="B20" s="70" t="s">
        <v>810</v>
      </c>
      <c r="C20" s="72" t="s">
        <v>811</v>
      </c>
      <c r="D20" s="27" t="s">
        <v>124</v>
      </c>
      <c r="E20" s="30">
        <v>48</v>
      </c>
      <c r="F20" s="30" t="s">
        <v>769</v>
      </c>
      <c r="G20" s="30" t="s">
        <v>812</v>
      </c>
      <c r="H20" s="32">
        <v>32</v>
      </c>
      <c r="I20" s="32" t="s">
        <v>582</v>
      </c>
      <c r="J20" s="32" t="s">
        <v>718</v>
      </c>
      <c r="K20" s="4" t="s">
        <v>813</v>
      </c>
      <c r="L20" s="4" t="s">
        <v>814</v>
      </c>
      <c r="M20" s="30" t="s">
        <v>414</v>
      </c>
      <c r="N20" s="33" t="s">
        <v>815</v>
      </c>
    </row>
    <row r="21" spans="1:14" ht="21.75" customHeight="1" x14ac:dyDescent="0.3">
      <c r="A21" s="25">
        <v>17</v>
      </c>
      <c r="B21" s="70" t="s">
        <v>816</v>
      </c>
      <c r="C21" s="71" t="s">
        <v>817</v>
      </c>
      <c r="D21" s="27" t="s">
        <v>128</v>
      </c>
      <c r="E21" s="30">
        <v>36</v>
      </c>
      <c r="F21" s="30" t="s">
        <v>818</v>
      </c>
      <c r="G21" s="30" t="s">
        <v>819</v>
      </c>
      <c r="H21" s="32">
        <v>14</v>
      </c>
      <c r="I21" s="32" t="s">
        <v>582</v>
      </c>
      <c r="J21" s="32" t="s">
        <v>718</v>
      </c>
      <c r="K21" s="4" t="s">
        <v>820</v>
      </c>
      <c r="L21" s="4" t="s">
        <v>821</v>
      </c>
      <c r="M21" s="30" t="s">
        <v>414</v>
      </c>
      <c r="N21" s="27" t="s">
        <v>822</v>
      </c>
    </row>
    <row r="22" spans="1:14" ht="21.75" customHeight="1" x14ac:dyDescent="0.3">
      <c r="A22" s="25">
        <v>18</v>
      </c>
      <c r="B22" s="70" t="s">
        <v>823</v>
      </c>
      <c r="C22" s="78" t="s">
        <v>824</v>
      </c>
      <c r="D22" s="27" t="s">
        <v>134</v>
      </c>
      <c r="E22" s="30">
        <v>24</v>
      </c>
      <c r="F22" s="30" t="s">
        <v>825</v>
      </c>
      <c r="G22" s="30" t="s">
        <v>619</v>
      </c>
      <c r="H22" s="79">
        <v>2</v>
      </c>
      <c r="I22" s="79" t="s">
        <v>607</v>
      </c>
      <c r="J22" s="79" t="s">
        <v>731</v>
      </c>
      <c r="K22" s="4" t="s">
        <v>826</v>
      </c>
      <c r="L22" s="4" t="s">
        <v>827</v>
      </c>
      <c r="M22" s="30" t="s">
        <v>734</v>
      </c>
      <c r="N22" s="79" t="s">
        <v>828</v>
      </c>
    </row>
    <row r="23" spans="1:14" ht="21.75" customHeight="1" x14ac:dyDescent="0.3">
      <c r="A23" s="112" t="s">
        <v>829</v>
      </c>
      <c r="B23" s="112"/>
      <c r="C23" s="112"/>
      <c r="D23" s="112"/>
      <c r="E23" s="112"/>
      <c r="F23" s="80">
        <f>COUNTIF(I5:I22,"Low Stock")</f>
        <v>9</v>
      </c>
      <c r="G23" s="77" t="s">
        <v>830</v>
      </c>
    </row>
  </sheetData>
  <mergeCells count="3">
    <mergeCell ref="A1:N2"/>
    <mergeCell ref="A3:N3"/>
    <mergeCell ref="A23:E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D4ED8"/>
  </sheetPr>
  <dimension ref="A1:J34"/>
  <sheetViews>
    <sheetView showGridLines="0" tabSelected="1" workbookViewId="0">
      <pane xSplit="2" ySplit="4" topLeftCell="C19" activePane="bottomRight" state="frozen"/>
      <selection pane="topRight" activeCell="C1" sqref="C1"/>
      <selection pane="bottomLeft" activeCell="A5" sqref="A5"/>
      <selection pane="bottomRight" activeCell="E27" sqref="E27"/>
    </sheetView>
  </sheetViews>
  <sheetFormatPr defaultColWidth="8.6640625" defaultRowHeight="14.4" x14ac:dyDescent="0.3"/>
  <cols>
    <col min="1" max="1" width="5" customWidth="1"/>
    <col min="2" max="2" width="14" customWidth="1"/>
    <col min="3" max="3" width="13" customWidth="1"/>
    <col min="4" max="4" width="14" customWidth="1"/>
    <col min="5" max="5" width="26" customWidth="1"/>
    <col min="6" max="8" width="13" customWidth="1"/>
    <col min="9" max="9" width="22" customWidth="1"/>
    <col min="10" max="10" width="24" customWidth="1"/>
  </cols>
  <sheetData>
    <row r="1" spans="1:10" x14ac:dyDescent="0.3">
      <c r="A1" s="97" t="s">
        <v>831</v>
      </c>
      <c r="B1" s="97"/>
      <c r="C1" s="97"/>
      <c r="D1" s="97"/>
      <c r="E1" s="97"/>
      <c r="F1" s="97"/>
      <c r="G1" s="97"/>
      <c r="H1" s="97"/>
      <c r="I1" s="97"/>
      <c r="J1" s="97"/>
    </row>
    <row r="2" spans="1:10" x14ac:dyDescent="0.3">
      <c r="A2" s="97"/>
      <c r="B2" s="97"/>
      <c r="C2" s="97"/>
      <c r="D2" s="97"/>
      <c r="E2" s="97"/>
      <c r="F2" s="97"/>
      <c r="G2" s="97"/>
      <c r="H2" s="97"/>
      <c r="I2" s="97"/>
      <c r="J2" s="97"/>
    </row>
    <row r="3" spans="1:10" x14ac:dyDescent="0.3">
      <c r="A3" s="98" t="s">
        <v>832</v>
      </c>
      <c r="B3" s="98"/>
      <c r="C3" s="98"/>
      <c r="D3" s="98"/>
      <c r="E3" s="98"/>
      <c r="F3" s="98"/>
      <c r="G3" s="98"/>
      <c r="H3" s="98"/>
      <c r="I3" s="98"/>
      <c r="J3" s="98"/>
    </row>
    <row r="4" spans="1:10" ht="33.75" customHeight="1" x14ac:dyDescent="0.3">
      <c r="A4" s="24" t="s">
        <v>69</v>
      </c>
      <c r="B4" s="24" t="s">
        <v>833</v>
      </c>
      <c r="C4" s="24" t="s">
        <v>834</v>
      </c>
      <c r="D4" s="24" t="s">
        <v>70</v>
      </c>
      <c r="E4" s="24" t="s">
        <v>835</v>
      </c>
      <c r="F4" s="24" t="s">
        <v>72</v>
      </c>
      <c r="G4" s="24" t="s">
        <v>836</v>
      </c>
      <c r="H4" s="24" t="s">
        <v>837</v>
      </c>
      <c r="I4" s="24" t="s">
        <v>838</v>
      </c>
      <c r="J4" s="24" t="s">
        <v>81</v>
      </c>
    </row>
    <row r="5" spans="1:10" ht="18" customHeight="1" x14ac:dyDescent="0.3">
      <c r="A5" s="25">
        <v>1</v>
      </c>
      <c r="B5" s="4" t="s">
        <v>583</v>
      </c>
      <c r="C5" s="4" t="s">
        <v>839</v>
      </c>
      <c r="D5" s="34" t="s">
        <v>94</v>
      </c>
      <c r="E5" s="34" t="s">
        <v>94</v>
      </c>
      <c r="F5" s="34" t="s">
        <v>95</v>
      </c>
      <c r="G5" s="81" t="s">
        <v>97</v>
      </c>
      <c r="H5" s="31">
        <v>1.6</v>
      </c>
      <c r="I5" s="34" t="s">
        <v>840</v>
      </c>
      <c r="J5" s="82" t="s">
        <v>841</v>
      </c>
    </row>
    <row r="6" spans="1:10" ht="18" customHeight="1" x14ac:dyDescent="0.3">
      <c r="A6" s="25">
        <v>2</v>
      </c>
      <c r="B6" s="36" t="s">
        <v>583</v>
      </c>
      <c r="C6" s="36" t="s">
        <v>839</v>
      </c>
      <c r="D6" s="34" t="s">
        <v>128</v>
      </c>
      <c r="E6" s="34" t="s">
        <v>129</v>
      </c>
      <c r="F6" s="34" t="s">
        <v>95</v>
      </c>
      <c r="G6" s="81" t="s">
        <v>97</v>
      </c>
      <c r="H6" s="31">
        <v>1.2</v>
      </c>
      <c r="I6" s="34" t="s">
        <v>842</v>
      </c>
      <c r="J6" s="82" t="s">
        <v>841</v>
      </c>
    </row>
    <row r="7" spans="1:10" ht="18" customHeight="1" x14ac:dyDescent="0.3">
      <c r="A7" s="25">
        <v>3</v>
      </c>
      <c r="B7" s="4" t="s">
        <v>843</v>
      </c>
      <c r="C7" s="4" t="s">
        <v>844</v>
      </c>
      <c r="D7" s="28" t="s">
        <v>83</v>
      </c>
      <c r="E7" s="28" t="s">
        <v>84</v>
      </c>
      <c r="F7" s="28" t="s">
        <v>85</v>
      </c>
      <c r="G7" s="83" t="s">
        <v>87</v>
      </c>
      <c r="H7" s="31">
        <v>0.6</v>
      </c>
      <c r="I7" s="28" t="s">
        <v>845</v>
      </c>
      <c r="J7" s="82" t="s">
        <v>841</v>
      </c>
    </row>
    <row r="8" spans="1:10" ht="18" customHeight="1" x14ac:dyDescent="0.3">
      <c r="A8" s="25">
        <v>4</v>
      </c>
      <c r="B8" s="36" t="s">
        <v>843</v>
      </c>
      <c r="C8" s="36" t="s">
        <v>844</v>
      </c>
      <c r="D8" s="28" t="s">
        <v>112</v>
      </c>
      <c r="E8" s="28" t="s">
        <v>113</v>
      </c>
      <c r="F8" s="28" t="s">
        <v>85</v>
      </c>
      <c r="G8" s="83" t="s">
        <v>87</v>
      </c>
      <c r="H8" s="31">
        <v>0.5</v>
      </c>
      <c r="I8" s="28" t="s">
        <v>846</v>
      </c>
      <c r="J8" s="82" t="s">
        <v>841</v>
      </c>
    </row>
    <row r="9" spans="1:10" ht="18" customHeight="1" x14ac:dyDescent="0.3">
      <c r="A9" s="25">
        <v>5</v>
      </c>
      <c r="B9" s="4" t="s">
        <v>847</v>
      </c>
      <c r="C9" s="4" t="s">
        <v>844</v>
      </c>
      <c r="D9" s="28" t="s">
        <v>83</v>
      </c>
      <c r="E9" s="28" t="s">
        <v>84</v>
      </c>
      <c r="F9" s="28" t="s">
        <v>85</v>
      </c>
      <c r="G9" s="83" t="s">
        <v>87</v>
      </c>
      <c r="H9" s="31">
        <v>0.6</v>
      </c>
      <c r="I9" s="28" t="s">
        <v>845</v>
      </c>
      <c r="J9" s="82" t="s">
        <v>841</v>
      </c>
    </row>
    <row r="10" spans="1:10" ht="18" customHeight="1" x14ac:dyDescent="0.3">
      <c r="A10" s="25">
        <v>6</v>
      </c>
      <c r="B10" s="36" t="s">
        <v>847</v>
      </c>
      <c r="C10" s="36" t="s">
        <v>844</v>
      </c>
      <c r="D10" s="28" t="s">
        <v>112</v>
      </c>
      <c r="E10" s="28" t="s">
        <v>113</v>
      </c>
      <c r="F10" s="28" t="s">
        <v>85</v>
      </c>
      <c r="G10" s="83" t="s">
        <v>87</v>
      </c>
      <c r="H10" s="31">
        <v>0.5</v>
      </c>
      <c r="I10" s="28" t="s">
        <v>846</v>
      </c>
      <c r="J10" s="82" t="s">
        <v>841</v>
      </c>
    </row>
    <row r="11" spans="1:10" ht="18" customHeight="1" x14ac:dyDescent="0.3">
      <c r="A11" s="25">
        <v>7</v>
      </c>
      <c r="B11" s="4" t="s">
        <v>848</v>
      </c>
      <c r="C11" s="4" t="s">
        <v>844</v>
      </c>
      <c r="D11" s="28" t="s">
        <v>83</v>
      </c>
      <c r="E11" s="28" t="s">
        <v>84</v>
      </c>
      <c r="F11" s="28" t="s">
        <v>85</v>
      </c>
      <c r="G11" s="83" t="s">
        <v>87</v>
      </c>
      <c r="H11" s="31">
        <v>0.6</v>
      </c>
      <c r="I11" s="28" t="s">
        <v>845</v>
      </c>
      <c r="J11" s="82" t="s">
        <v>841</v>
      </c>
    </row>
    <row r="12" spans="1:10" ht="18" customHeight="1" x14ac:dyDescent="0.3">
      <c r="A12" s="25">
        <v>8</v>
      </c>
      <c r="B12" s="36" t="s">
        <v>848</v>
      </c>
      <c r="C12" s="36" t="s">
        <v>844</v>
      </c>
      <c r="D12" s="28" t="s">
        <v>112</v>
      </c>
      <c r="E12" s="28" t="s">
        <v>113</v>
      </c>
      <c r="F12" s="28" t="s">
        <v>85</v>
      </c>
      <c r="G12" s="83" t="s">
        <v>87</v>
      </c>
      <c r="H12" s="31">
        <v>0.5</v>
      </c>
      <c r="I12" s="28" t="s">
        <v>846</v>
      </c>
      <c r="J12" s="82" t="s">
        <v>841</v>
      </c>
    </row>
    <row r="13" spans="1:10" ht="18" customHeight="1" x14ac:dyDescent="0.3">
      <c r="A13" s="25">
        <v>9</v>
      </c>
      <c r="B13" s="4" t="s">
        <v>849</v>
      </c>
      <c r="C13" s="4" t="s">
        <v>844</v>
      </c>
      <c r="D13" s="28" t="s">
        <v>83</v>
      </c>
      <c r="E13" s="28" t="s">
        <v>84</v>
      </c>
      <c r="F13" s="28" t="s">
        <v>85</v>
      </c>
      <c r="G13" s="83" t="s">
        <v>87</v>
      </c>
      <c r="H13" s="31">
        <v>0.6</v>
      </c>
      <c r="I13" s="28" t="s">
        <v>845</v>
      </c>
      <c r="J13" s="82" t="s">
        <v>841</v>
      </c>
    </row>
    <row r="14" spans="1:10" ht="18" customHeight="1" x14ac:dyDescent="0.3">
      <c r="A14" s="25">
        <v>10</v>
      </c>
      <c r="B14" s="36" t="s">
        <v>849</v>
      </c>
      <c r="C14" s="36" t="s">
        <v>844</v>
      </c>
      <c r="D14" s="28" t="s">
        <v>112</v>
      </c>
      <c r="E14" s="28" t="s">
        <v>113</v>
      </c>
      <c r="F14" s="28" t="s">
        <v>85</v>
      </c>
      <c r="G14" s="83" t="s">
        <v>87</v>
      </c>
      <c r="H14" s="31">
        <v>0.5</v>
      </c>
      <c r="I14" s="28" t="s">
        <v>846</v>
      </c>
      <c r="J14" s="82" t="s">
        <v>841</v>
      </c>
    </row>
    <row r="15" spans="1:10" ht="18" customHeight="1" x14ac:dyDescent="0.3">
      <c r="A15" s="25">
        <v>11</v>
      </c>
      <c r="B15" s="4" t="s">
        <v>730</v>
      </c>
      <c r="C15" s="4" t="s">
        <v>844</v>
      </c>
      <c r="D15" s="28" t="s">
        <v>83</v>
      </c>
      <c r="E15" s="28" t="s">
        <v>84</v>
      </c>
      <c r="F15" s="28" t="s">
        <v>85</v>
      </c>
      <c r="G15" s="83" t="s">
        <v>87</v>
      </c>
      <c r="H15" s="31">
        <v>0.6</v>
      </c>
      <c r="I15" s="28" t="s">
        <v>845</v>
      </c>
      <c r="J15" s="82" t="s">
        <v>841</v>
      </c>
    </row>
    <row r="16" spans="1:10" ht="18" customHeight="1" x14ac:dyDescent="0.3">
      <c r="A16" s="25">
        <v>12</v>
      </c>
      <c r="B16" s="36" t="s">
        <v>730</v>
      </c>
      <c r="C16" s="36" t="s">
        <v>844</v>
      </c>
      <c r="D16" s="28" t="s">
        <v>112</v>
      </c>
      <c r="E16" s="28" t="s">
        <v>113</v>
      </c>
      <c r="F16" s="28" t="s">
        <v>85</v>
      </c>
      <c r="G16" s="83" t="s">
        <v>87</v>
      </c>
      <c r="H16" s="31">
        <v>0.5</v>
      </c>
      <c r="I16" s="28" t="s">
        <v>846</v>
      </c>
      <c r="J16" s="82" t="s">
        <v>841</v>
      </c>
    </row>
    <row r="17" spans="1:10" ht="18" customHeight="1" x14ac:dyDescent="0.3">
      <c r="A17" s="25">
        <v>13</v>
      </c>
      <c r="B17" s="4" t="s">
        <v>730</v>
      </c>
      <c r="C17" s="4" t="s">
        <v>844</v>
      </c>
      <c r="D17" s="34" t="s">
        <v>94</v>
      </c>
      <c r="E17" s="34" t="s">
        <v>94</v>
      </c>
      <c r="F17" s="34" t="s">
        <v>95</v>
      </c>
      <c r="G17" s="81" t="s">
        <v>97</v>
      </c>
      <c r="H17" s="31">
        <v>1.6</v>
      </c>
      <c r="I17" s="34" t="s">
        <v>840</v>
      </c>
      <c r="J17" s="82" t="s">
        <v>841</v>
      </c>
    </row>
    <row r="18" spans="1:10" ht="18" customHeight="1" x14ac:dyDescent="0.3">
      <c r="A18" s="25">
        <v>14</v>
      </c>
      <c r="B18" s="36" t="s">
        <v>730</v>
      </c>
      <c r="C18" s="36" t="s">
        <v>844</v>
      </c>
      <c r="D18" s="34" t="s">
        <v>128</v>
      </c>
      <c r="E18" s="34" t="s">
        <v>129</v>
      </c>
      <c r="F18" s="34" t="s">
        <v>95</v>
      </c>
      <c r="G18" s="81" t="s">
        <v>97</v>
      </c>
      <c r="H18" s="31">
        <v>1.2</v>
      </c>
      <c r="I18" s="34" t="s">
        <v>842</v>
      </c>
      <c r="J18" s="82" t="s">
        <v>841</v>
      </c>
    </row>
    <row r="19" spans="1:10" ht="18" customHeight="1" x14ac:dyDescent="0.3">
      <c r="A19" s="25">
        <v>15</v>
      </c>
      <c r="B19" s="4" t="s">
        <v>850</v>
      </c>
      <c r="C19" s="4" t="s">
        <v>844</v>
      </c>
      <c r="D19" s="28" t="s">
        <v>83</v>
      </c>
      <c r="E19" s="28" t="s">
        <v>84</v>
      </c>
      <c r="F19" s="28" t="s">
        <v>85</v>
      </c>
      <c r="G19" s="83" t="s">
        <v>87</v>
      </c>
      <c r="H19" s="31">
        <v>0.6</v>
      </c>
      <c r="I19" s="28" t="s">
        <v>845</v>
      </c>
      <c r="J19" s="82" t="s">
        <v>841</v>
      </c>
    </row>
    <row r="20" spans="1:10" ht="18" customHeight="1" x14ac:dyDescent="0.3">
      <c r="A20" s="25">
        <v>16</v>
      </c>
      <c r="B20" s="36" t="s">
        <v>850</v>
      </c>
      <c r="C20" s="36" t="s">
        <v>844</v>
      </c>
      <c r="D20" s="28" t="s">
        <v>112</v>
      </c>
      <c r="E20" s="28" t="s">
        <v>113</v>
      </c>
      <c r="F20" s="28" t="s">
        <v>85</v>
      </c>
      <c r="G20" s="83" t="s">
        <v>87</v>
      </c>
      <c r="H20" s="31">
        <v>0.5</v>
      </c>
      <c r="I20" s="28" t="s">
        <v>846</v>
      </c>
      <c r="J20" s="82" t="s">
        <v>841</v>
      </c>
    </row>
    <row r="21" spans="1:10" ht="18" customHeight="1" x14ac:dyDescent="0.3">
      <c r="A21" s="25">
        <v>17</v>
      </c>
      <c r="B21" s="4" t="s">
        <v>851</v>
      </c>
      <c r="C21" s="4" t="s">
        <v>844</v>
      </c>
      <c r="D21" s="28" t="s">
        <v>83</v>
      </c>
      <c r="E21" s="28" t="s">
        <v>84</v>
      </c>
      <c r="F21" s="28" t="s">
        <v>85</v>
      </c>
      <c r="G21" s="83" t="s">
        <v>87</v>
      </c>
      <c r="H21" s="31">
        <v>0.6</v>
      </c>
      <c r="I21" s="28" t="s">
        <v>845</v>
      </c>
      <c r="J21" s="82" t="s">
        <v>841</v>
      </c>
    </row>
    <row r="22" spans="1:10" ht="18" customHeight="1" x14ac:dyDescent="0.3">
      <c r="A22" s="25">
        <v>18</v>
      </c>
      <c r="B22" s="36" t="s">
        <v>851</v>
      </c>
      <c r="C22" s="36" t="s">
        <v>844</v>
      </c>
      <c r="D22" s="28" t="s">
        <v>112</v>
      </c>
      <c r="E22" s="28" t="s">
        <v>113</v>
      </c>
      <c r="F22" s="28" t="s">
        <v>85</v>
      </c>
      <c r="G22" s="83" t="s">
        <v>87</v>
      </c>
      <c r="H22" s="31">
        <v>0.5</v>
      </c>
      <c r="I22" s="28" t="s">
        <v>846</v>
      </c>
      <c r="J22" s="82" t="s">
        <v>841</v>
      </c>
    </row>
    <row r="23" spans="1:10" ht="18" customHeight="1" x14ac:dyDescent="0.3">
      <c r="A23" s="25">
        <v>19</v>
      </c>
      <c r="B23" s="4" t="s">
        <v>852</v>
      </c>
      <c r="C23" s="4" t="s">
        <v>844</v>
      </c>
      <c r="D23" s="28" t="s">
        <v>83</v>
      </c>
      <c r="E23" s="28" t="s">
        <v>84</v>
      </c>
      <c r="F23" s="28" t="s">
        <v>85</v>
      </c>
      <c r="G23" s="83" t="s">
        <v>87</v>
      </c>
      <c r="H23" s="31">
        <v>0.6</v>
      </c>
      <c r="I23" s="28" t="s">
        <v>845</v>
      </c>
      <c r="J23" s="82" t="s">
        <v>841</v>
      </c>
    </row>
    <row r="24" spans="1:10" ht="18" customHeight="1" x14ac:dyDescent="0.3">
      <c r="A24" s="25">
        <v>20</v>
      </c>
      <c r="B24" s="36" t="s">
        <v>852</v>
      </c>
      <c r="C24" s="36" t="s">
        <v>844</v>
      </c>
      <c r="D24" s="28" t="s">
        <v>112</v>
      </c>
      <c r="E24" s="28" t="s">
        <v>113</v>
      </c>
      <c r="F24" s="28" t="s">
        <v>85</v>
      </c>
      <c r="G24" s="83" t="s">
        <v>87</v>
      </c>
      <c r="H24" s="31">
        <v>0.5</v>
      </c>
      <c r="I24" s="28" t="s">
        <v>846</v>
      </c>
      <c r="J24" s="82" t="s">
        <v>841</v>
      </c>
    </row>
    <row r="25" spans="1:10" ht="18" customHeight="1" x14ac:dyDescent="0.3">
      <c r="A25" s="25">
        <v>21</v>
      </c>
      <c r="B25" s="4" t="s">
        <v>853</v>
      </c>
      <c r="C25" s="4" t="s">
        <v>844</v>
      </c>
      <c r="D25" s="28" t="s">
        <v>83</v>
      </c>
      <c r="E25" s="28" t="s">
        <v>84</v>
      </c>
      <c r="F25" s="28" t="s">
        <v>85</v>
      </c>
      <c r="G25" s="83" t="s">
        <v>87</v>
      </c>
      <c r="H25" s="31">
        <v>0.6</v>
      </c>
      <c r="I25" s="28" t="s">
        <v>845</v>
      </c>
      <c r="J25" s="82" t="s">
        <v>841</v>
      </c>
    </row>
    <row r="26" spans="1:10" ht="18" customHeight="1" x14ac:dyDescent="0.3">
      <c r="A26" s="25">
        <v>22</v>
      </c>
      <c r="B26" s="36" t="s">
        <v>853</v>
      </c>
      <c r="C26" s="36" t="s">
        <v>844</v>
      </c>
      <c r="D26" s="28" t="s">
        <v>112</v>
      </c>
      <c r="E26" s="28" t="s">
        <v>113</v>
      </c>
      <c r="F26" s="28" t="s">
        <v>85</v>
      </c>
      <c r="G26" s="83" t="s">
        <v>87</v>
      </c>
      <c r="H26" s="31">
        <v>0.5</v>
      </c>
      <c r="I26" s="28" t="s">
        <v>846</v>
      </c>
      <c r="J26" s="82" t="s">
        <v>841</v>
      </c>
    </row>
    <row r="27" spans="1:10" x14ac:dyDescent="0.3">
      <c r="A27" s="113">
        <v>23</v>
      </c>
      <c r="B27" s="114">
        <v>46268</v>
      </c>
      <c r="C27" t="s">
        <v>1028</v>
      </c>
      <c r="D27" t="s">
        <v>99</v>
      </c>
      <c r="E27" t="s">
        <v>100</v>
      </c>
      <c r="F27" t="s">
        <v>101</v>
      </c>
      <c r="G27" t="s">
        <v>103</v>
      </c>
      <c r="H27">
        <v>4.2</v>
      </c>
      <c r="I27" t="s">
        <v>1029</v>
      </c>
      <c r="J27" t="s">
        <v>841</v>
      </c>
    </row>
    <row r="28" spans="1:10" x14ac:dyDescent="0.3">
      <c r="A28" s="113">
        <v>24</v>
      </c>
      <c r="B28" s="114">
        <v>46273</v>
      </c>
      <c r="C28" t="s">
        <v>1030</v>
      </c>
      <c r="D28" t="s">
        <v>106</v>
      </c>
      <c r="E28" t="s">
        <v>107</v>
      </c>
      <c r="F28" t="s">
        <v>108</v>
      </c>
      <c r="G28" t="s">
        <v>110</v>
      </c>
      <c r="H28">
        <v>2.4</v>
      </c>
      <c r="I28" t="s">
        <v>1031</v>
      </c>
      <c r="J28" t="s">
        <v>841</v>
      </c>
    </row>
    <row r="29" spans="1:10" x14ac:dyDescent="0.3">
      <c r="A29" s="113">
        <v>25</v>
      </c>
      <c r="B29" s="114">
        <v>46275</v>
      </c>
      <c r="C29" t="s">
        <v>1028</v>
      </c>
      <c r="D29" t="s">
        <v>116</v>
      </c>
      <c r="E29" t="s">
        <v>117</v>
      </c>
      <c r="F29" t="s">
        <v>108</v>
      </c>
      <c r="G29" t="s">
        <v>110</v>
      </c>
      <c r="H29">
        <v>2.1</v>
      </c>
      <c r="I29" t="s">
        <v>1032</v>
      </c>
      <c r="J29" t="s">
        <v>841</v>
      </c>
    </row>
    <row r="30" spans="1:10" x14ac:dyDescent="0.3">
      <c r="A30" s="113">
        <v>2</v>
      </c>
      <c r="B30" s="114">
        <v>46280</v>
      </c>
      <c r="C30" t="s">
        <v>1030</v>
      </c>
      <c r="D30" t="s">
        <v>120</v>
      </c>
      <c r="E30" t="s">
        <v>121</v>
      </c>
      <c r="F30" t="s">
        <v>101</v>
      </c>
      <c r="G30" t="s">
        <v>103</v>
      </c>
      <c r="H30">
        <v>3.5</v>
      </c>
      <c r="I30" t="s">
        <v>1033</v>
      </c>
      <c r="J30" t="s">
        <v>841</v>
      </c>
    </row>
    <row r="31" spans="1:10" x14ac:dyDescent="0.3">
      <c r="A31" s="113">
        <v>627</v>
      </c>
      <c r="B31" s="114">
        <v>46282</v>
      </c>
      <c r="C31" t="s">
        <v>1028</v>
      </c>
      <c r="D31" t="s">
        <v>124</v>
      </c>
      <c r="E31" t="s">
        <v>125</v>
      </c>
      <c r="F31" t="s">
        <v>108</v>
      </c>
      <c r="G31" t="s">
        <v>110</v>
      </c>
      <c r="H31">
        <v>1.8</v>
      </c>
      <c r="I31" t="s">
        <v>1034</v>
      </c>
      <c r="J31" t="s">
        <v>841</v>
      </c>
    </row>
    <row r="32" spans="1:10" x14ac:dyDescent="0.3">
      <c r="A32" s="113">
        <v>28</v>
      </c>
      <c r="B32" s="114">
        <v>46287</v>
      </c>
      <c r="C32" t="s">
        <v>1030</v>
      </c>
      <c r="D32" t="s">
        <v>131</v>
      </c>
      <c r="E32" t="s">
        <v>132</v>
      </c>
      <c r="F32" t="s">
        <v>108</v>
      </c>
      <c r="G32" t="s">
        <v>110</v>
      </c>
      <c r="H32">
        <v>1.5</v>
      </c>
      <c r="I32" t="s">
        <v>1035</v>
      </c>
      <c r="J32" t="s">
        <v>841</v>
      </c>
    </row>
    <row r="33" spans="1:10" x14ac:dyDescent="0.3">
      <c r="A33" s="113"/>
      <c r="B33" s="114">
        <v>46289</v>
      </c>
      <c r="C33" t="s">
        <v>1028</v>
      </c>
      <c r="D33" t="s">
        <v>134</v>
      </c>
      <c r="E33" t="s">
        <v>135</v>
      </c>
      <c r="F33" t="s">
        <v>108</v>
      </c>
      <c r="G33" t="s">
        <v>110</v>
      </c>
      <c r="H33">
        <v>1.5</v>
      </c>
      <c r="I33" t="s">
        <v>1036</v>
      </c>
      <c r="J33" t="s">
        <v>841</v>
      </c>
    </row>
    <row r="34" spans="1:10" x14ac:dyDescent="0.3">
      <c r="A34" s="113">
        <v>30</v>
      </c>
    </row>
  </sheetData>
  <mergeCells count="2">
    <mergeCell ref="A1:J2"/>
    <mergeCell ref="A3:J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B0082"/>
  </sheetPr>
  <dimension ref="A1:J12"/>
  <sheetViews>
    <sheetView showGridLines="0" workbookViewId="0">
      <pane xSplit="2" ySplit="4" topLeftCell="C5" activePane="bottomRight" state="frozen"/>
      <selection pane="topRight" activeCell="C1" sqref="C1"/>
      <selection pane="bottomLeft" activeCell="A5" sqref="A5"/>
      <selection pane="bottomRight" activeCell="E42" sqref="E42"/>
    </sheetView>
  </sheetViews>
  <sheetFormatPr defaultColWidth="8.6640625" defaultRowHeight="14.4" x14ac:dyDescent="0.3"/>
  <cols>
    <col min="1" max="1" width="4" customWidth="1"/>
    <col min="2" max="2" width="14" customWidth="1"/>
    <col min="3" max="3" width="24" customWidth="1"/>
    <col min="4" max="4" width="16" customWidth="1"/>
    <col min="5" max="5" width="60.44140625" customWidth="1"/>
    <col min="6" max="6" width="28" customWidth="1"/>
    <col min="7" max="7" width="10" customWidth="1"/>
    <col min="8" max="8" width="16" customWidth="1"/>
    <col min="9" max="9" width="14" customWidth="1"/>
    <col min="10" max="10" width="50" bestFit="1" customWidth="1"/>
  </cols>
  <sheetData>
    <row r="1" spans="1:10" x14ac:dyDescent="0.3">
      <c r="A1" s="97" t="s">
        <v>854</v>
      </c>
      <c r="B1" s="97"/>
      <c r="C1" s="97"/>
      <c r="D1" s="97"/>
      <c r="E1" s="97"/>
      <c r="F1" s="97"/>
      <c r="G1" s="97"/>
      <c r="H1" s="97"/>
      <c r="I1" s="97"/>
      <c r="J1" s="97"/>
    </row>
    <row r="2" spans="1:10" x14ac:dyDescent="0.3">
      <c r="A2" s="97"/>
      <c r="B2" s="97"/>
      <c r="C2" s="97"/>
      <c r="D2" s="97"/>
      <c r="E2" s="97"/>
      <c r="F2" s="97"/>
      <c r="G2" s="97"/>
      <c r="H2" s="97"/>
      <c r="I2" s="97"/>
      <c r="J2" s="97"/>
    </row>
    <row r="3" spans="1:10" x14ac:dyDescent="0.3">
      <c r="A3" s="98" t="s">
        <v>855</v>
      </c>
      <c r="B3" s="98"/>
      <c r="C3" s="98"/>
      <c r="D3" s="98"/>
      <c r="E3" s="98"/>
      <c r="F3" s="98"/>
      <c r="G3" s="98"/>
      <c r="H3" s="98"/>
      <c r="I3" s="98"/>
      <c r="J3" s="98"/>
    </row>
    <row r="4" spans="1:10" ht="36" customHeight="1" x14ac:dyDescent="0.3">
      <c r="A4" s="24" t="s">
        <v>69</v>
      </c>
      <c r="B4" s="24" t="s">
        <v>856</v>
      </c>
      <c r="C4" s="24" t="s">
        <v>857</v>
      </c>
      <c r="D4" s="24" t="s">
        <v>858</v>
      </c>
      <c r="E4" s="24" t="s">
        <v>859</v>
      </c>
      <c r="F4" s="24" t="s">
        <v>860</v>
      </c>
      <c r="G4" s="24" t="s">
        <v>575</v>
      </c>
      <c r="H4" s="24" t="s">
        <v>861</v>
      </c>
      <c r="I4" s="24" t="s">
        <v>862</v>
      </c>
      <c r="J4" s="24" t="s">
        <v>81</v>
      </c>
    </row>
    <row r="5" spans="1:10" ht="21.75" customHeight="1" x14ac:dyDescent="0.3">
      <c r="A5" s="25">
        <v>1</v>
      </c>
      <c r="B5" s="84" t="s">
        <v>863</v>
      </c>
      <c r="C5" s="71" t="s">
        <v>864</v>
      </c>
      <c r="D5" s="85" t="s">
        <v>865</v>
      </c>
      <c r="E5" s="4" t="s">
        <v>866</v>
      </c>
      <c r="F5" s="4" t="s">
        <v>867</v>
      </c>
      <c r="G5" s="32" t="s">
        <v>868</v>
      </c>
      <c r="H5" s="4" t="s">
        <v>869</v>
      </c>
      <c r="I5" s="4" t="s">
        <v>870</v>
      </c>
      <c r="J5" s="4" t="s">
        <v>871</v>
      </c>
    </row>
    <row r="6" spans="1:10" ht="21.75" customHeight="1" x14ac:dyDescent="0.3">
      <c r="A6" s="25">
        <v>2</v>
      </c>
      <c r="B6" s="84" t="s">
        <v>872</v>
      </c>
      <c r="C6" s="72" t="s">
        <v>873</v>
      </c>
      <c r="D6" s="26" t="s">
        <v>874</v>
      </c>
      <c r="E6" s="36" t="s">
        <v>875</v>
      </c>
      <c r="F6" s="4" t="s">
        <v>876</v>
      </c>
      <c r="G6" s="32" t="s">
        <v>868</v>
      </c>
      <c r="H6" s="4" t="s">
        <v>877</v>
      </c>
      <c r="I6" s="4" t="s">
        <v>878</v>
      </c>
      <c r="J6" s="36" t="s">
        <v>879</v>
      </c>
    </row>
    <row r="7" spans="1:10" ht="21.75" customHeight="1" x14ac:dyDescent="0.3">
      <c r="A7" s="25">
        <v>3</v>
      </c>
      <c r="B7" s="84" t="s">
        <v>880</v>
      </c>
      <c r="C7" s="71" t="s">
        <v>881</v>
      </c>
      <c r="D7" s="26" t="s">
        <v>874</v>
      </c>
      <c r="E7" s="4" t="s">
        <v>875</v>
      </c>
      <c r="F7" s="4" t="s">
        <v>882</v>
      </c>
      <c r="G7" s="32" t="s">
        <v>868</v>
      </c>
      <c r="H7" s="4" t="s">
        <v>883</v>
      </c>
      <c r="I7" s="4" t="s">
        <v>878</v>
      </c>
      <c r="J7" s="4" t="s">
        <v>884</v>
      </c>
    </row>
    <row r="8" spans="1:10" ht="21.75" customHeight="1" x14ac:dyDescent="0.3">
      <c r="A8" s="25">
        <v>4</v>
      </c>
      <c r="B8" s="84" t="s">
        <v>885</v>
      </c>
      <c r="C8" s="72" t="s">
        <v>886</v>
      </c>
      <c r="D8" s="32" t="s">
        <v>887</v>
      </c>
      <c r="E8" s="36" t="s">
        <v>888</v>
      </c>
      <c r="F8" s="4" t="s">
        <v>889</v>
      </c>
      <c r="G8" s="32" t="s">
        <v>868</v>
      </c>
      <c r="H8" s="4" t="s">
        <v>869</v>
      </c>
      <c r="I8" s="4" t="s">
        <v>878</v>
      </c>
      <c r="J8" s="36" t="s">
        <v>890</v>
      </c>
    </row>
    <row r="9" spans="1:10" ht="21.75" customHeight="1" x14ac:dyDescent="0.3">
      <c r="A9" s="25">
        <v>5</v>
      </c>
      <c r="B9" s="84" t="s">
        <v>891</v>
      </c>
      <c r="C9" s="71" t="s">
        <v>892</v>
      </c>
      <c r="D9" s="32" t="s">
        <v>887</v>
      </c>
      <c r="E9" s="4" t="s">
        <v>888</v>
      </c>
      <c r="F9" s="4" t="s">
        <v>893</v>
      </c>
      <c r="G9" s="32" t="s">
        <v>868</v>
      </c>
      <c r="H9" s="4" t="s">
        <v>877</v>
      </c>
      <c r="I9" s="4" t="s">
        <v>878</v>
      </c>
      <c r="J9" s="4" t="s">
        <v>894</v>
      </c>
    </row>
    <row r="10" spans="1:10" ht="21.75" customHeight="1" x14ac:dyDescent="0.3">
      <c r="A10" s="25">
        <v>6</v>
      </c>
      <c r="B10" s="84" t="s">
        <v>895</v>
      </c>
      <c r="C10" s="72" t="s">
        <v>896</v>
      </c>
      <c r="D10" s="32" t="s">
        <v>887</v>
      </c>
      <c r="E10" s="36" t="s">
        <v>888</v>
      </c>
      <c r="F10" s="4" t="s">
        <v>897</v>
      </c>
      <c r="G10" s="74" t="s">
        <v>898</v>
      </c>
      <c r="H10" s="4" t="s">
        <v>619</v>
      </c>
      <c r="I10" s="4" t="s">
        <v>899</v>
      </c>
      <c r="J10" s="36" t="s">
        <v>900</v>
      </c>
    </row>
    <row r="11" spans="1:10" ht="21.75" customHeight="1" x14ac:dyDescent="0.3">
      <c r="A11" s="25">
        <v>7</v>
      </c>
      <c r="B11" s="84" t="s">
        <v>901</v>
      </c>
      <c r="C11" s="71" t="s">
        <v>902</v>
      </c>
      <c r="D11" s="86" t="s">
        <v>903</v>
      </c>
      <c r="E11" s="4" t="s">
        <v>904</v>
      </c>
      <c r="F11" s="4" t="s">
        <v>905</v>
      </c>
      <c r="G11" s="32" t="s">
        <v>868</v>
      </c>
      <c r="H11" s="4" t="s">
        <v>906</v>
      </c>
      <c r="I11" s="4" t="s">
        <v>878</v>
      </c>
      <c r="J11" s="4" t="s">
        <v>907</v>
      </c>
    </row>
    <row r="12" spans="1:10" ht="21.75" customHeight="1" x14ac:dyDescent="0.3">
      <c r="A12" s="25">
        <v>8</v>
      </c>
      <c r="B12" s="84" t="s">
        <v>908</v>
      </c>
      <c r="C12" s="72" t="s">
        <v>909</v>
      </c>
      <c r="D12" s="28" t="s">
        <v>910</v>
      </c>
      <c r="E12" s="36" t="s">
        <v>911</v>
      </c>
      <c r="F12" s="4" t="s">
        <v>912</v>
      </c>
      <c r="G12" s="32" t="s">
        <v>868</v>
      </c>
      <c r="H12" s="4" t="s">
        <v>913</v>
      </c>
      <c r="I12" s="4" t="s">
        <v>878</v>
      </c>
      <c r="J12" s="36" t="s">
        <v>914</v>
      </c>
    </row>
  </sheetData>
  <mergeCells count="2">
    <mergeCell ref="A1:J2"/>
    <mergeCell ref="A3:J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6B8F"/>
  </sheetPr>
  <dimension ref="A1:N14"/>
  <sheetViews>
    <sheetView showGridLines="0" workbookViewId="0">
      <pane xSplit="1" ySplit="4" topLeftCell="B5" activePane="bottomRight" state="frozen"/>
      <selection pane="topRight" activeCell="B1" sqref="B1"/>
      <selection pane="bottomLeft" activeCell="A5" sqref="A5"/>
      <selection pane="bottomRight" activeCell="L7" sqref="L7"/>
    </sheetView>
  </sheetViews>
  <sheetFormatPr defaultColWidth="8.6640625" defaultRowHeight="14.4" x14ac:dyDescent="0.3"/>
  <cols>
    <col min="1" max="1" width="14" customWidth="1"/>
    <col min="2" max="2" width="12" customWidth="1"/>
    <col min="3" max="4" width="13" customWidth="1"/>
    <col min="5" max="6" width="12" customWidth="1"/>
    <col min="7" max="8" width="13" customWidth="1"/>
    <col min="9" max="9" width="14" customWidth="1"/>
    <col min="10" max="10" width="13" customWidth="1"/>
    <col min="11" max="11" width="12" customWidth="1"/>
    <col min="12" max="12" width="48.109375" bestFit="1" customWidth="1"/>
    <col min="13" max="13" width="18" customWidth="1"/>
    <col min="14" max="14" width="12.88671875" bestFit="1" customWidth="1"/>
  </cols>
  <sheetData>
    <row r="1" spans="1:14" x14ac:dyDescent="0.3">
      <c r="A1" s="97" t="s">
        <v>915</v>
      </c>
      <c r="B1" s="97"/>
      <c r="C1" s="97"/>
      <c r="D1" s="97"/>
      <c r="E1" s="97"/>
      <c r="F1" s="97"/>
      <c r="G1" s="97"/>
      <c r="H1" s="97"/>
      <c r="I1" s="97"/>
      <c r="J1" s="97"/>
      <c r="K1" s="97"/>
      <c r="L1" s="97"/>
      <c r="M1" s="97"/>
      <c r="N1" s="97"/>
    </row>
    <row r="2" spans="1:14" x14ac:dyDescent="0.3">
      <c r="A2" s="97"/>
      <c r="B2" s="97"/>
      <c r="C2" s="97"/>
      <c r="D2" s="97"/>
      <c r="E2" s="97"/>
      <c r="F2" s="97"/>
      <c r="G2" s="97"/>
      <c r="H2" s="97"/>
      <c r="I2" s="97"/>
      <c r="J2" s="97"/>
      <c r="K2" s="97"/>
      <c r="L2" s="97"/>
      <c r="M2" s="97"/>
      <c r="N2" s="97"/>
    </row>
    <row r="3" spans="1:14" x14ac:dyDescent="0.3">
      <c r="A3" s="98" t="s">
        <v>916</v>
      </c>
      <c r="B3" s="98"/>
      <c r="C3" s="98"/>
      <c r="D3" s="98"/>
      <c r="E3" s="98"/>
      <c r="F3" s="98"/>
      <c r="G3" s="98"/>
      <c r="H3" s="98"/>
      <c r="I3" s="98"/>
      <c r="J3" s="98"/>
      <c r="K3" s="98"/>
      <c r="L3" s="98"/>
      <c r="M3" s="98"/>
      <c r="N3" s="98"/>
    </row>
    <row r="4" spans="1:14" ht="36" customHeight="1" x14ac:dyDescent="0.3">
      <c r="A4" s="24" t="s">
        <v>917</v>
      </c>
      <c r="B4" s="24" t="s">
        <v>918</v>
      </c>
      <c r="C4" s="24" t="s">
        <v>70</v>
      </c>
      <c r="D4" s="24" t="s">
        <v>919</v>
      </c>
      <c r="E4" s="24" t="s">
        <v>920</v>
      </c>
      <c r="F4" s="24" t="s">
        <v>921</v>
      </c>
      <c r="G4" s="24" t="s">
        <v>922</v>
      </c>
      <c r="H4" s="24" t="s">
        <v>837</v>
      </c>
      <c r="I4" s="24" t="s">
        <v>923</v>
      </c>
      <c r="J4" s="24" t="s">
        <v>924</v>
      </c>
      <c r="K4" s="24" t="s">
        <v>925</v>
      </c>
      <c r="L4" s="24" t="s">
        <v>926</v>
      </c>
      <c r="M4" s="24" t="s">
        <v>927</v>
      </c>
      <c r="N4" s="24" t="s">
        <v>80</v>
      </c>
    </row>
    <row r="5" spans="1:14" ht="21.75" customHeight="1" x14ac:dyDescent="0.3">
      <c r="A5" s="43" t="s">
        <v>928</v>
      </c>
      <c r="B5" s="4" t="s">
        <v>929</v>
      </c>
      <c r="C5" s="87" t="s">
        <v>83</v>
      </c>
      <c r="D5" s="4" t="s">
        <v>885</v>
      </c>
      <c r="E5" s="31">
        <v>6</v>
      </c>
      <c r="F5" s="21">
        <v>6</v>
      </c>
      <c r="G5" s="32" t="s">
        <v>930</v>
      </c>
      <c r="H5" s="31">
        <v>0.6</v>
      </c>
      <c r="I5" s="32" t="s">
        <v>931</v>
      </c>
      <c r="J5" s="4" t="s">
        <v>872</v>
      </c>
      <c r="K5" s="88" t="s">
        <v>932</v>
      </c>
      <c r="L5" s="4" t="s">
        <v>933</v>
      </c>
      <c r="M5" s="30" t="s">
        <v>934</v>
      </c>
      <c r="N5" s="30" t="s">
        <v>935</v>
      </c>
    </row>
    <row r="6" spans="1:14" ht="21.75" customHeight="1" x14ac:dyDescent="0.3">
      <c r="A6" s="43" t="s">
        <v>936</v>
      </c>
      <c r="B6" s="4" t="s">
        <v>929</v>
      </c>
      <c r="C6" s="87" t="s">
        <v>112</v>
      </c>
      <c r="D6" s="4" t="s">
        <v>885</v>
      </c>
      <c r="E6" s="31">
        <v>5</v>
      </c>
      <c r="F6" s="21">
        <v>5</v>
      </c>
      <c r="G6" s="32" t="s">
        <v>930</v>
      </c>
      <c r="H6" s="31">
        <v>0.5</v>
      </c>
      <c r="I6" s="32" t="s">
        <v>931</v>
      </c>
      <c r="J6" s="4" t="s">
        <v>872</v>
      </c>
      <c r="K6" s="88" t="s">
        <v>932</v>
      </c>
      <c r="L6" s="36" t="s">
        <v>937</v>
      </c>
      <c r="M6" s="30" t="s">
        <v>938</v>
      </c>
      <c r="N6" s="30" t="s">
        <v>935</v>
      </c>
    </row>
    <row r="7" spans="1:14" ht="21.75" customHeight="1" x14ac:dyDescent="0.3">
      <c r="A7" s="43" t="s">
        <v>939</v>
      </c>
      <c r="B7" s="4" t="s">
        <v>929</v>
      </c>
      <c r="C7" s="89" t="s">
        <v>94</v>
      </c>
      <c r="D7" s="4" t="s">
        <v>891</v>
      </c>
      <c r="E7" s="31">
        <v>5</v>
      </c>
      <c r="F7" s="21">
        <v>4</v>
      </c>
      <c r="G7" s="79" t="s">
        <v>940</v>
      </c>
      <c r="H7" s="31">
        <v>1.4</v>
      </c>
      <c r="I7" s="79" t="s">
        <v>941</v>
      </c>
      <c r="J7" s="4" t="s">
        <v>880</v>
      </c>
      <c r="K7" s="88" t="s">
        <v>932</v>
      </c>
      <c r="L7" s="4" t="s">
        <v>942</v>
      </c>
      <c r="M7" s="30" t="s">
        <v>943</v>
      </c>
      <c r="N7" s="30" t="s">
        <v>944</v>
      </c>
    </row>
    <row r="8" spans="1:14" ht="21.75" customHeight="1" x14ac:dyDescent="0.3">
      <c r="A8" s="43" t="s">
        <v>945</v>
      </c>
      <c r="B8" s="4" t="s">
        <v>583</v>
      </c>
      <c r="C8" s="89" t="s">
        <v>128</v>
      </c>
      <c r="D8" s="4" t="s">
        <v>885</v>
      </c>
      <c r="E8" s="31">
        <v>5</v>
      </c>
      <c r="F8" s="21">
        <v>5</v>
      </c>
      <c r="G8" s="32" t="s">
        <v>930</v>
      </c>
      <c r="H8" s="31">
        <v>1.2</v>
      </c>
      <c r="I8" s="32" t="s">
        <v>931</v>
      </c>
      <c r="J8" s="4" t="s">
        <v>872</v>
      </c>
      <c r="K8" s="88" t="s">
        <v>932</v>
      </c>
      <c r="L8" s="36" t="s">
        <v>946</v>
      </c>
      <c r="M8" s="30" t="s">
        <v>947</v>
      </c>
      <c r="N8" s="30" t="s">
        <v>935</v>
      </c>
    </row>
    <row r="9" spans="1:14" ht="21.75" customHeight="1" x14ac:dyDescent="0.3">
      <c r="A9" s="43" t="s">
        <v>948</v>
      </c>
      <c r="B9" s="4" t="s">
        <v>583</v>
      </c>
      <c r="C9" s="89" t="s">
        <v>94</v>
      </c>
      <c r="D9" s="4" t="s">
        <v>891</v>
      </c>
      <c r="E9" s="31">
        <v>5</v>
      </c>
      <c r="F9" s="21">
        <v>5</v>
      </c>
      <c r="G9" s="32" t="s">
        <v>930</v>
      </c>
      <c r="H9" s="31">
        <v>1.6</v>
      </c>
      <c r="I9" s="32" t="s">
        <v>931</v>
      </c>
      <c r="J9" s="4" t="s">
        <v>880</v>
      </c>
      <c r="K9" s="88" t="s">
        <v>932</v>
      </c>
      <c r="L9" s="4" t="s">
        <v>949</v>
      </c>
      <c r="M9" s="30" t="s">
        <v>950</v>
      </c>
      <c r="N9" s="30" t="s">
        <v>935</v>
      </c>
    </row>
    <row r="10" spans="1:14" ht="18" customHeight="1" x14ac:dyDescent="0.3">
      <c r="A10" s="90"/>
      <c r="B10" s="90"/>
      <c r="C10" s="90"/>
      <c r="D10" s="90"/>
      <c r="E10" s="90"/>
      <c r="F10" s="90"/>
      <c r="G10" s="90"/>
      <c r="H10" s="90"/>
      <c r="I10" s="90"/>
      <c r="J10" s="90"/>
      <c r="K10" s="90"/>
      <c r="L10" s="90"/>
      <c r="M10" s="90"/>
      <c r="N10" s="90"/>
    </row>
    <row r="11" spans="1:14" ht="18" customHeight="1" x14ac:dyDescent="0.3">
      <c r="A11" s="91"/>
      <c r="B11" s="91"/>
      <c r="C11" s="91"/>
      <c r="D11" s="91"/>
      <c r="E11" s="91"/>
      <c r="F11" s="91"/>
      <c r="G11" s="91"/>
      <c r="H11" s="91"/>
      <c r="I11" s="91"/>
      <c r="J11" s="91"/>
      <c r="K11" s="91"/>
      <c r="L11" s="91"/>
      <c r="M11" s="91"/>
      <c r="N11" s="91"/>
    </row>
    <row r="12" spans="1:14" ht="18" customHeight="1" x14ac:dyDescent="0.3">
      <c r="A12" s="90"/>
      <c r="B12" s="90"/>
      <c r="C12" s="90"/>
      <c r="D12" s="90"/>
      <c r="E12" s="90"/>
      <c r="F12" s="90"/>
      <c r="G12" s="90"/>
      <c r="H12" s="90"/>
      <c r="I12" s="90"/>
      <c r="J12" s="90"/>
      <c r="K12" s="90"/>
      <c r="L12" s="90"/>
      <c r="M12" s="90"/>
      <c r="N12" s="90"/>
    </row>
    <row r="13" spans="1:14" ht="18" customHeight="1" x14ac:dyDescent="0.3">
      <c r="A13" s="91"/>
      <c r="B13" s="91"/>
      <c r="C13" s="91"/>
      <c r="D13" s="91"/>
      <c r="E13" s="91"/>
      <c r="F13" s="91"/>
      <c r="G13" s="91"/>
      <c r="H13" s="91"/>
      <c r="I13" s="91"/>
      <c r="J13" s="91"/>
      <c r="K13" s="91"/>
      <c r="L13" s="91"/>
      <c r="M13" s="91"/>
      <c r="N13" s="91"/>
    </row>
    <row r="14" spans="1:14" ht="18" customHeight="1" x14ac:dyDescent="0.3">
      <c r="A14" s="90"/>
      <c r="B14" s="90"/>
      <c r="C14" s="90"/>
      <c r="D14" s="90"/>
      <c r="E14" s="90"/>
      <c r="F14" s="90"/>
      <c r="G14" s="90"/>
      <c r="H14" s="90"/>
      <c r="I14" s="90"/>
      <c r="J14" s="90"/>
      <c r="K14" s="90"/>
      <c r="L14" s="90"/>
      <c r="M14" s="90"/>
      <c r="N14" s="90"/>
    </row>
  </sheetData>
  <mergeCells count="2">
    <mergeCell ref="A1:N2"/>
    <mergeCell ref="A3:N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45309"/>
  </sheetPr>
  <dimension ref="A1:J17"/>
  <sheetViews>
    <sheetView showGridLines="0" workbookViewId="0">
      <pane xSplit="2" ySplit="4" topLeftCell="C5" activePane="bottomRight" state="frozen"/>
      <selection pane="topRight" activeCell="C1" sqref="C1"/>
      <selection pane="bottomLeft" activeCell="A5" sqref="A5"/>
      <selection pane="bottomRight" activeCell="E29" sqref="E29"/>
    </sheetView>
  </sheetViews>
  <sheetFormatPr defaultColWidth="8.6640625" defaultRowHeight="14.4" x14ac:dyDescent="0.3"/>
  <cols>
    <col min="1" max="4" width="14" customWidth="1"/>
    <col min="5" max="5" width="65.44140625" bestFit="1" customWidth="1"/>
    <col min="6" max="7" width="14" customWidth="1"/>
    <col min="8" max="8" width="12" customWidth="1"/>
    <col min="9" max="9" width="20" customWidth="1"/>
    <col min="10" max="10" width="37.109375" bestFit="1" customWidth="1"/>
  </cols>
  <sheetData>
    <row r="1" spans="1:10" x14ac:dyDescent="0.3">
      <c r="A1" s="97" t="s">
        <v>951</v>
      </c>
      <c r="B1" s="97"/>
      <c r="C1" s="97"/>
      <c r="D1" s="97"/>
      <c r="E1" s="97"/>
      <c r="F1" s="97"/>
      <c r="G1" s="97"/>
      <c r="H1" s="97"/>
      <c r="I1" s="97"/>
      <c r="J1" s="97"/>
    </row>
    <row r="2" spans="1:10" x14ac:dyDescent="0.3">
      <c r="A2" s="97"/>
      <c r="B2" s="97"/>
      <c r="C2" s="97"/>
      <c r="D2" s="97"/>
      <c r="E2" s="97"/>
      <c r="F2" s="97"/>
      <c r="G2" s="97"/>
      <c r="H2" s="97"/>
      <c r="I2" s="97"/>
      <c r="J2" s="97"/>
    </row>
    <row r="3" spans="1:10" x14ac:dyDescent="0.3">
      <c r="A3" s="98" t="s">
        <v>952</v>
      </c>
      <c r="B3" s="98"/>
      <c r="C3" s="98"/>
      <c r="D3" s="98"/>
      <c r="E3" s="98"/>
      <c r="F3" s="98"/>
      <c r="G3" s="98"/>
      <c r="H3" s="98"/>
      <c r="I3" s="98"/>
      <c r="J3" s="98"/>
    </row>
    <row r="4" spans="1:10" ht="36" customHeight="1" x14ac:dyDescent="0.3">
      <c r="A4" s="24" t="s">
        <v>953</v>
      </c>
      <c r="B4" s="24" t="s">
        <v>70</v>
      </c>
      <c r="C4" s="24" t="s">
        <v>954</v>
      </c>
      <c r="D4" s="24" t="s">
        <v>955</v>
      </c>
      <c r="E4" s="24" t="s">
        <v>956</v>
      </c>
      <c r="F4" s="24" t="s">
        <v>957</v>
      </c>
      <c r="G4" s="24" t="s">
        <v>958</v>
      </c>
      <c r="H4" s="24" t="s">
        <v>575</v>
      </c>
      <c r="I4" s="24" t="s">
        <v>959</v>
      </c>
      <c r="J4" s="24" t="s">
        <v>81</v>
      </c>
    </row>
    <row r="5" spans="1:10" ht="21.75" customHeight="1" x14ac:dyDescent="0.3">
      <c r="A5" s="43" t="s">
        <v>960</v>
      </c>
      <c r="B5" s="79" t="s">
        <v>94</v>
      </c>
      <c r="C5" s="74" t="s">
        <v>929</v>
      </c>
      <c r="D5" s="32" t="s">
        <v>961</v>
      </c>
      <c r="E5" s="4" t="s">
        <v>962</v>
      </c>
      <c r="F5" s="4" t="s">
        <v>880</v>
      </c>
      <c r="G5" s="4" t="s">
        <v>891</v>
      </c>
      <c r="H5" s="32" t="s">
        <v>963</v>
      </c>
      <c r="I5" s="30" t="s">
        <v>943</v>
      </c>
      <c r="J5" s="4" t="s">
        <v>964</v>
      </c>
    </row>
    <row r="6" spans="1:10" ht="21.75" customHeight="1" x14ac:dyDescent="0.3">
      <c r="A6" s="43" t="s">
        <v>965</v>
      </c>
      <c r="B6" s="79" t="s">
        <v>99</v>
      </c>
      <c r="C6" s="74" t="s">
        <v>782</v>
      </c>
      <c r="D6" s="32" t="s">
        <v>966</v>
      </c>
      <c r="E6" s="36" t="s">
        <v>967</v>
      </c>
      <c r="F6" s="4" t="s">
        <v>872</v>
      </c>
      <c r="G6" s="4" t="s">
        <v>872</v>
      </c>
      <c r="H6" s="32" t="s">
        <v>963</v>
      </c>
      <c r="I6" s="30" t="s">
        <v>968</v>
      </c>
      <c r="J6" s="36" t="s">
        <v>969</v>
      </c>
    </row>
    <row r="7" spans="1:10" ht="21.75" customHeight="1" x14ac:dyDescent="0.3">
      <c r="A7" s="43" t="s">
        <v>970</v>
      </c>
      <c r="B7" s="79" t="s">
        <v>106</v>
      </c>
      <c r="C7" s="74" t="s">
        <v>619</v>
      </c>
      <c r="D7" s="32" t="s">
        <v>971</v>
      </c>
      <c r="E7" s="4" t="s">
        <v>972</v>
      </c>
      <c r="F7" s="4" t="s">
        <v>872</v>
      </c>
      <c r="G7" s="4" t="s">
        <v>885</v>
      </c>
      <c r="H7" s="32" t="s">
        <v>963</v>
      </c>
      <c r="I7" s="30" t="s">
        <v>973</v>
      </c>
      <c r="J7" s="4" t="s">
        <v>974</v>
      </c>
    </row>
    <row r="8" spans="1:10" ht="18" customHeight="1" x14ac:dyDescent="0.3">
      <c r="A8" s="90"/>
      <c r="B8" s="90"/>
      <c r="C8" s="90"/>
      <c r="D8" s="90"/>
      <c r="E8" s="90"/>
      <c r="F8" s="90"/>
      <c r="G8" s="90"/>
      <c r="H8" s="90"/>
      <c r="I8" s="90"/>
      <c r="J8" s="90"/>
    </row>
    <row r="9" spans="1:10" ht="18" customHeight="1" x14ac:dyDescent="0.3">
      <c r="A9" s="91"/>
      <c r="B9" s="91"/>
      <c r="C9" s="91"/>
      <c r="D9" s="91"/>
      <c r="E9" s="91"/>
      <c r="F9" s="91"/>
      <c r="G9" s="91"/>
      <c r="H9" s="91"/>
      <c r="I9" s="91"/>
      <c r="J9" s="91"/>
    </row>
    <row r="10" spans="1:10" ht="18" customHeight="1" x14ac:dyDescent="0.3">
      <c r="A10" s="90"/>
      <c r="B10" s="90"/>
      <c r="C10" s="90"/>
      <c r="D10" s="90"/>
      <c r="E10" s="90"/>
      <c r="F10" s="90"/>
      <c r="G10" s="90"/>
      <c r="H10" s="90"/>
      <c r="I10" s="90"/>
      <c r="J10" s="90"/>
    </row>
    <row r="11" spans="1:10" ht="18" customHeight="1" x14ac:dyDescent="0.3">
      <c r="A11" s="91"/>
      <c r="B11" s="91"/>
      <c r="C11" s="91"/>
      <c r="D11" s="91"/>
      <c r="E11" s="91"/>
      <c r="F11" s="91"/>
      <c r="G11" s="91"/>
      <c r="H11" s="91"/>
      <c r="I11" s="91"/>
      <c r="J11" s="91"/>
    </row>
    <row r="12" spans="1:10" ht="18" customHeight="1" x14ac:dyDescent="0.3">
      <c r="A12" s="90"/>
      <c r="B12" s="90"/>
      <c r="C12" s="90"/>
      <c r="D12" s="90"/>
      <c r="E12" s="90"/>
      <c r="F12" s="90"/>
      <c r="G12" s="90"/>
      <c r="H12" s="90"/>
      <c r="I12" s="90"/>
      <c r="J12" s="90"/>
    </row>
    <row r="13" spans="1:10" ht="18" customHeight="1" x14ac:dyDescent="0.3">
      <c r="A13" s="91"/>
      <c r="B13" s="91"/>
      <c r="C13" s="91"/>
      <c r="D13" s="91"/>
      <c r="E13" s="91"/>
      <c r="F13" s="91"/>
      <c r="G13" s="91"/>
      <c r="H13" s="91"/>
      <c r="I13" s="91"/>
      <c r="J13" s="91"/>
    </row>
    <row r="14" spans="1:10" ht="18" customHeight="1" x14ac:dyDescent="0.3">
      <c r="A14" s="90"/>
      <c r="B14" s="90"/>
      <c r="C14" s="90"/>
      <c r="D14" s="90"/>
      <c r="E14" s="90"/>
      <c r="F14" s="90"/>
      <c r="G14" s="90"/>
      <c r="H14" s="90"/>
      <c r="I14" s="90"/>
      <c r="J14" s="90"/>
    </row>
    <row r="15" spans="1:10" ht="18" customHeight="1" x14ac:dyDescent="0.3">
      <c r="A15" s="91"/>
      <c r="B15" s="91"/>
      <c r="C15" s="91"/>
      <c r="D15" s="91"/>
      <c r="E15" s="91"/>
      <c r="F15" s="91"/>
      <c r="G15" s="91"/>
      <c r="H15" s="91"/>
      <c r="I15" s="91"/>
      <c r="J15" s="91"/>
    </row>
    <row r="16" spans="1:10" ht="18" customHeight="1" x14ac:dyDescent="0.3">
      <c r="A16" s="90"/>
      <c r="B16" s="90"/>
      <c r="C16" s="90"/>
      <c r="D16" s="90"/>
      <c r="E16" s="90"/>
      <c r="F16" s="90"/>
      <c r="G16" s="90"/>
      <c r="H16" s="90"/>
      <c r="I16" s="90"/>
      <c r="J16" s="90"/>
    </row>
    <row r="17" spans="1:10" ht="18" customHeight="1" x14ac:dyDescent="0.3">
      <c r="A17" s="91"/>
      <c r="B17" s="91"/>
      <c r="C17" s="91"/>
      <c r="D17" s="91"/>
      <c r="E17" s="91"/>
      <c r="F17" s="91"/>
      <c r="G17" s="91"/>
      <c r="H17" s="91"/>
      <c r="I17" s="91"/>
      <c r="J17" s="91"/>
    </row>
  </sheetData>
  <mergeCells count="2">
    <mergeCell ref="A1:J2"/>
    <mergeCell ref="A3:J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65F46"/>
  </sheetPr>
  <dimension ref="A1:H12"/>
  <sheetViews>
    <sheetView showGridLines="0" workbookViewId="0">
      <pane xSplit="1" ySplit="4" topLeftCell="B5" activePane="bottomRight" state="frozen"/>
      <selection pane="topRight" activeCell="B1" sqref="B1"/>
      <selection pane="bottomLeft" activeCell="A5" sqref="A5"/>
      <selection pane="bottomRight" activeCell="F17" sqref="F17"/>
    </sheetView>
  </sheetViews>
  <sheetFormatPr defaultColWidth="8.6640625" defaultRowHeight="14.4" x14ac:dyDescent="0.3"/>
  <cols>
    <col min="1" max="1" width="12" customWidth="1"/>
    <col min="2" max="2" width="28" customWidth="1"/>
    <col min="3" max="3" width="16" customWidth="1"/>
    <col min="4" max="4" width="12.5546875" customWidth="1"/>
    <col min="5" max="5" width="21.6640625" bestFit="1" customWidth="1"/>
    <col min="6" max="6" width="73.109375" bestFit="1" customWidth="1"/>
    <col min="7" max="7" width="12.88671875" bestFit="1" customWidth="1"/>
    <col min="8" max="8" width="59.88671875" bestFit="1" customWidth="1"/>
  </cols>
  <sheetData>
    <row r="1" spans="1:8" x14ac:dyDescent="0.3">
      <c r="A1" s="97" t="s">
        <v>975</v>
      </c>
      <c r="B1" s="97"/>
      <c r="C1" s="97"/>
      <c r="D1" s="97"/>
      <c r="E1" s="97"/>
      <c r="F1" s="97"/>
      <c r="G1" s="97"/>
      <c r="H1" s="97"/>
    </row>
    <row r="2" spans="1:8" x14ac:dyDescent="0.3">
      <c r="A2" s="97"/>
      <c r="B2" s="97"/>
      <c r="C2" s="97"/>
      <c r="D2" s="97"/>
      <c r="E2" s="97"/>
      <c r="F2" s="97"/>
      <c r="G2" s="97"/>
      <c r="H2" s="97"/>
    </row>
    <row r="3" spans="1:8" x14ac:dyDescent="0.3">
      <c r="A3" s="98" t="s">
        <v>976</v>
      </c>
      <c r="B3" s="98"/>
      <c r="C3" s="98"/>
      <c r="D3" s="98"/>
      <c r="E3" s="98"/>
      <c r="F3" s="98"/>
      <c r="G3" s="98"/>
      <c r="H3" s="98"/>
    </row>
    <row r="4" spans="1:8" ht="36" customHeight="1" x14ac:dyDescent="0.3">
      <c r="A4" s="24" t="s">
        <v>977</v>
      </c>
      <c r="B4" s="24" t="s">
        <v>978</v>
      </c>
      <c r="C4" s="24" t="s">
        <v>979</v>
      </c>
      <c r="D4" s="24" t="s">
        <v>980</v>
      </c>
      <c r="E4" s="24" t="s">
        <v>981</v>
      </c>
      <c r="F4" s="24" t="s">
        <v>982</v>
      </c>
      <c r="G4" s="24" t="s">
        <v>80</v>
      </c>
      <c r="H4" s="24" t="s">
        <v>81</v>
      </c>
    </row>
    <row r="5" spans="1:8" ht="21.75" customHeight="1" x14ac:dyDescent="0.3">
      <c r="A5" s="43" t="s">
        <v>983</v>
      </c>
      <c r="B5" s="92" t="s">
        <v>984</v>
      </c>
      <c r="C5" s="28">
        <v>9</v>
      </c>
      <c r="D5" s="4" t="s">
        <v>985</v>
      </c>
      <c r="E5" s="4" t="s">
        <v>24</v>
      </c>
      <c r="F5" s="93" t="s">
        <v>986</v>
      </c>
      <c r="G5" s="30" t="s">
        <v>987</v>
      </c>
      <c r="H5" s="4" t="s">
        <v>988</v>
      </c>
    </row>
    <row r="6" spans="1:8" ht="21.75" customHeight="1" x14ac:dyDescent="0.3">
      <c r="A6" s="43" t="s">
        <v>989</v>
      </c>
      <c r="B6" s="92" t="s">
        <v>990</v>
      </c>
      <c r="C6" s="28">
        <v>7.5</v>
      </c>
      <c r="D6" s="4" t="s">
        <v>991</v>
      </c>
      <c r="E6" s="4" t="s">
        <v>21</v>
      </c>
      <c r="F6" s="93" t="s">
        <v>992</v>
      </c>
      <c r="G6" s="30" t="s">
        <v>993</v>
      </c>
      <c r="H6" s="36" t="s">
        <v>994</v>
      </c>
    </row>
    <row r="7" spans="1:8" ht="21.75" customHeight="1" x14ac:dyDescent="0.3">
      <c r="A7" s="43" t="s">
        <v>995</v>
      </c>
      <c r="B7" s="92" t="s">
        <v>996</v>
      </c>
      <c r="C7" s="28">
        <v>3</v>
      </c>
      <c r="D7" s="4" t="s">
        <v>997</v>
      </c>
      <c r="E7" s="4" t="s">
        <v>21</v>
      </c>
      <c r="F7" s="93" t="s">
        <v>998</v>
      </c>
      <c r="G7" s="30" t="s">
        <v>987</v>
      </c>
      <c r="H7" s="4" t="s">
        <v>999</v>
      </c>
    </row>
    <row r="8" spans="1:8" ht="21.75" customHeight="1" x14ac:dyDescent="0.3">
      <c r="A8" s="43" t="s">
        <v>1000</v>
      </c>
      <c r="B8" s="92" t="s">
        <v>1001</v>
      </c>
      <c r="C8" s="28">
        <v>65</v>
      </c>
      <c r="D8" s="4" t="s">
        <v>1002</v>
      </c>
      <c r="E8" s="4" t="s">
        <v>39</v>
      </c>
      <c r="F8" s="93" t="s">
        <v>1003</v>
      </c>
      <c r="G8" s="30" t="s">
        <v>1004</v>
      </c>
      <c r="H8" s="36" t="s">
        <v>1005</v>
      </c>
    </row>
    <row r="9" spans="1:8" ht="21.75" customHeight="1" x14ac:dyDescent="0.3">
      <c r="A9" s="43" t="s">
        <v>1006</v>
      </c>
      <c r="B9" s="92" t="s">
        <v>1007</v>
      </c>
      <c r="C9" s="28">
        <v>2</v>
      </c>
      <c r="D9" s="4" t="s">
        <v>1008</v>
      </c>
      <c r="E9" s="4" t="s">
        <v>27</v>
      </c>
      <c r="F9" s="93" t="s">
        <v>1009</v>
      </c>
      <c r="G9" s="30" t="s">
        <v>1010</v>
      </c>
      <c r="H9" s="4" t="s">
        <v>1011</v>
      </c>
    </row>
    <row r="10" spans="1:8" ht="21.75" customHeight="1" x14ac:dyDescent="0.3">
      <c r="A10" s="43" t="s">
        <v>1012</v>
      </c>
      <c r="B10" s="92" t="s">
        <v>1013</v>
      </c>
      <c r="C10" s="28">
        <v>6</v>
      </c>
      <c r="D10" s="4" t="s">
        <v>1008</v>
      </c>
      <c r="E10" s="4" t="s">
        <v>30</v>
      </c>
      <c r="F10" s="93" t="s">
        <v>1014</v>
      </c>
      <c r="G10" s="30" t="s">
        <v>734</v>
      </c>
      <c r="H10" s="36" t="s">
        <v>1015</v>
      </c>
    </row>
    <row r="11" spans="1:8" ht="21.75" customHeight="1" x14ac:dyDescent="0.3">
      <c r="A11" s="43" t="s">
        <v>1016</v>
      </c>
      <c r="B11" s="92" t="s">
        <v>1017</v>
      </c>
      <c r="C11" s="28">
        <v>11</v>
      </c>
      <c r="D11" s="4" t="s">
        <v>997</v>
      </c>
      <c r="E11" s="4" t="s">
        <v>21</v>
      </c>
      <c r="F11" s="93" t="s">
        <v>1018</v>
      </c>
      <c r="G11" s="30" t="s">
        <v>91</v>
      </c>
      <c r="H11" s="4" t="s">
        <v>1019</v>
      </c>
    </row>
    <row r="12" spans="1:8" ht="21.75" customHeight="1" x14ac:dyDescent="0.3">
      <c r="A12" s="43" t="s">
        <v>1020</v>
      </c>
      <c r="B12" s="92" t="s">
        <v>1021</v>
      </c>
      <c r="C12" s="28">
        <v>87</v>
      </c>
      <c r="D12" s="4" t="s">
        <v>1002</v>
      </c>
      <c r="E12" s="4" t="s">
        <v>39</v>
      </c>
      <c r="F12" s="93" t="s">
        <v>1022</v>
      </c>
      <c r="G12" s="30" t="s">
        <v>1004</v>
      </c>
      <c r="H12" s="36" t="s">
        <v>1023</v>
      </c>
    </row>
  </sheetData>
  <mergeCells count="2">
    <mergeCell ref="A1:H2"/>
    <mergeCell ref="A3:H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GUIDE</vt:lpstr>
      <vt:lpstr>SUBSYSTEM_MASTER</vt:lpstr>
      <vt:lpstr>CHECKLIST_TASKS</vt:lpstr>
      <vt:lpstr>CONSUMABLES</vt:lpstr>
      <vt:lpstr>FIXED_LIFE_SPARES</vt:lpstr>
      <vt:lpstr>CALENDAR_EVENTS</vt:lpstr>
      <vt:lpstr>USERS_RBAC</vt:lpstr>
      <vt:lpstr>PM_RECORDS</vt:lpstr>
      <vt:lpstr>RESCHEDULE_LOG</vt:lpstr>
      <vt:lpstr>SUMMARY_METRICS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RAKHI SHARMA</cp:lastModifiedBy>
  <cp:revision>0</cp:revision>
  <dcterms:created xsi:type="dcterms:W3CDTF">2026-06-11T11:31:45Z</dcterms:created>
  <dcterms:modified xsi:type="dcterms:W3CDTF">2026-09-02T20:45:04Z</dcterms:modified>
  <dc:language>en-US</dc:language>
</cp:coreProperties>
</file>