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mc:AlternateContent xmlns:mc="http://schemas.openxmlformats.org/markup-compatibility/2006">
    <mc:Choice Requires="x15">
      <x15ac:absPath xmlns:x15ac="http://schemas.microsoft.com/office/spreadsheetml/2010/11/ac" url="https://d.docs.live.net/841abc774317df50/Desktop/"/>
    </mc:Choice>
  </mc:AlternateContent>
  <xr:revisionPtr revIDLastSave="0" documentId="8_{39D72C63-0BE4-4977-B56D-A0E79FB87673}" xr6:coauthVersionLast="47" xr6:coauthVersionMax="47" xr10:uidLastSave="{00000000-0000-0000-0000-000000000000}"/>
  <bookViews>
    <workbookView xWindow="-108" yWindow="-108" windowWidth="23256" windowHeight="13176" tabRatio="500" activeTab="2" xr2:uid="{00000000-000D-0000-FFFF-FFFF00000000}"/>
  </bookViews>
  <sheets>
    <sheet name="GUIDE" sheetId="1" r:id="rId1"/>
    <sheet name="SUBSYSTEM_MASTER" sheetId="2" r:id="rId2"/>
    <sheet name="CHECKLIST_TASKS" sheetId="3" r:id="rId3"/>
    <sheet name="CONSUMABLES" sheetId="4" r:id="rId4"/>
    <sheet name="FIXED_LIFE_SPARES" sheetId="5" r:id="rId5"/>
    <sheet name="CALENDAR_EVENTS" sheetId="6" r:id="rId6"/>
    <sheet name="USERS_RBAC" sheetId="7" r:id="rId7"/>
    <sheet name="PM_RECORDS" sheetId="8" r:id="rId8"/>
    <sheet name="RESCHEDULE_LOG" sheetId="9" r:id="rId9"/>
    <sheet name="SUMMARY_METRICS"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3" i="5" l="1"/>
  <c r="H25" i="4"/>
  <c r="G17" i="2"/>
</calcChain>
</file>

<file path=xl/sharedStrings.xml><?xml version="1.0" encoding="utf-8"?>
<sst xmlns="http://schemas.openxmlformats.org/spreadsheetml/2006/main" count="1786" uniqueCount="1028">
  <si>
    <t>RADAR PREVENTIVE MAINTENANCE DASHBOARD</t>
  </si>
  <si>
    <t>INPUT DATA WORKBOOK  ·  RPM-SYRS-2026-001 Rev 1.0</t>
  </si>
  <si>
    <t>Prepared for: SW Development Team  |  Classification: CONFIDENTIAL – Internal Use Only</t>
  </si>
  <si>
    <t>HOW TO USE THIS WORKBOOK</t>
  </si>
  <si>
    <t>📋 Purpose</t>
  </si>
  <si>
    <t>This workbook is the master input data source for implementing the RPM Dashboard GUI. Each sheet maps directly to a GUI panel or data feed.</t>
  </si>
  <si>
    <t>🖥️  GUI Panels</t>
  </si>
  <si>
    <t>The dashboard has 4 panels: (1) Summary Metrics  (2) Calendar Grid  (3) Subsystem Eligibility + Checklist  (4) Task Instruction Panel + Inventory Tab</t>
  </si>
  <si>
    <t>📂 Sheet Map</t>
  </si>
  <si>
    <t>SUBSYSTEM_MASTER → drives eligibility engine &amp; calendar  |  CHECKLIST_TASKS → populates checklist &amp; task panel  |  CONSUMABLES &amp; FIXED_LIFE_SPARES → drives inventory tab  |  USERS → RBAC login</t>
  </si>
  <si>
    <t>✏️  Data Entry</t>
  </si>
  <si>
    <t>Fill WHITE cells. GREY cells are computed/read-only. GREEN = Adequate. RED = Low Stock / Alert. AMBER = Warning.</t>
  </si>
  <si>
    <t>🔗 Cross-refs</t>
  </si>
  <si>
    <t>All dashboard logic reads from this file via INF-01 (Local Excel). Columns are named to match DB field names directly.</t>
  </si>
  <si>
    <t>⚠️  Mandatory</t>
  </si>
  <si>
    <t>Fields marked MANDATORY must not be blank — the dashboard will not render correctly without them.</t>
  </si>
  <si>
    <t>SHEET DIRECTORY</t>
  </si>
  <si>
    <t>1</t>
  </si>
  <si>
    <t>GUIDE</t>
  </si>
  <si>
    <t>This sheet – purpose, colour key, navigation guide</t>
  </si>
  <si>
    <t>2</t>
  </si>
  <si>
    <t>SUBSYSTEM_MASTER</t>
  </si>
  <si>
    <t>Master register of all 11 radar subsystems – frequencies, durations, icons, display order</t>
  </si>
  <si>
    <t>3</t>
  </si>
  <si>
    <t>CHECKLIST_TASKS</t>
  </si>
  <si>
    <t>All checklist items + task instruction data per subsystem (title, description, time, tools, PPE, video ref, image ref)</t>
  </si>
  <si>
    <t>4</t>
  </si>
  <si>
    <t>CONSUMABLES</t>
  </si>
  <si>
    <t>Inventory consumables – item name, subsystem, current qty, unit, threshold, status</t>
  </si>
  <si>
    <t>5</t>
  </si>
  <si>
    <t>FIXED_LIFE_SPARES</t>
  </si>
  <si>
    <t>Fixed life span spares – item, subsystem, install date, life months, months remaining, status</t>
  </si>
  <si>
    <t>6</t>
  </si>
  <si>
    <t>CALENDAR_EVENTS</t>
  </si>
  <si>
    <t>Pre-loaded calendar event schedule – subsystem, date, frequency label, colour code</t>
  </si>
  <si>
    <t>7</t>
  </si>
  <si>
    <t>USERS_RBAC</t>
  </si>
  <si>
    <t>User register for RBAC – user ID, name, role (Technician/Engineer/Admin), password hash, status</t>
  </si>
  <si>
    <t>8</t>
  </si>
  <si>
    <t>PM_RECORDS</t>
  </si>
  <si>
    <t>Completed PM records log – date, subsystem, technician, checklist completion, remarks, sign-off</t>
  </si>
  <si>
    <t>9</t>
  </si>
  <si>
    <t>RESCHEDULE_LOG</t>
  </si>
  <si>
    <t>Log of rescheduled PM events – original date, new date, reason, authorised by</t>
  </si>
  <si>
    <t>10</t>
  </si>
  <si>
    <t>SUMMARY_METRICS</t>
  </si>
  <si>
    <t>Config table for dashboard summary widgets – metric label, formula source, display unit</t>
  </si>
  <si>
    <t>COLOUR KEY</t>
  </si>
  <si>
    <t xml:space="preserve"> </t>
  </si>
  <si>
    <t>Weekly PM</t>
  </si>
  <si>
    <t>Calendar: Weekly tasks shown in Blue</t>
  </si>
  <si>
    <t>Monthly PM</t>
  </si>
  <si>
    <t>Calendar: Monthly tasks shown in Red</t>
  </si>
  <si>
    <t>Quarterly PM</t>
  </si>
  <si>
    <t>Calendar: Quarterly tasks shown in Green</t>
  </si>
  <si>
    <t>Annual PM</t>
  </si>
  <si>
    <t>Calendar: Annual tasks shown in Amber</t>
  </si>
  <si>
    <t>Adequate / OK</t>
  </si>
  <si>
    <t>Inventory: Stock adequate, life span OK</t>
  </si>
  <si>
    <t>Low Stock / Alert</t>
  </si>
  <si>
    <t>Inventory: Below threshold or life expired</t>
  </si>
  <si>
    <t>Warning</t>
  </si>
  <si>
    <t>Life span ≤ 2 months remaining – order now</t>
  </si>
  <si>
    <t>Read-Only / Computed</t>
  </si>
  <si>
    <t>Do not edit these cells directly</t>
  </si>
  <si>
    <t>Input Cell</t>
  </si>
  <si>
    <t>White / light blue = data entry cell</t>
  </si>
  <si>
    <t>SUBSYSTEM MASTER REGISTER</t>
  </si>
  <si>
    <t>Drives: Calendar Grid · Eligibility Engine · Summary Metrics  |  SyRS: SYS-ELG-002, SYS-ELG-005</t>
  </si>
  <si>
    <t>#</t>
  </si>
  <si>
    <t>Subsystem_ID</t>
  </si>
  <si>
    <t>Subsystem_Full_Name</t>
  </si>
  <si>
    <t>PM_Frequency</t>
  </si>
  <si>
    <t>Freq_Colour_Code</t>
  </si>
  <si>
    <t>Hex_Colour</t>
  </si>
  <si>
    <t>Est_Duration_hrs</t>
  </si>
  <si>
    <t>Display_Order</t>
  </si>
  <si>
    <t>Active_Flag</t>
  </si>
  <si>
    <t>Dashboard_Icon</t>
  </si>
  <si>
    <t>Subsystem_Category</t>
  </si>
  <si>
    <t>SyRS_Ref</t>
  </si>
  <si>
    <t>Notes</t>
  </si>
  <si>
    <t>Last_Updated</t>
  </si>
  <si>
    <t>LCU</t>
  </si>
  <si>
    <t>Logic Control Unit</t>
  </si>
  <si>
    <t>Weekly</t>
  </si>
  <si>
    <t>Blue</t>
  </si>
  <si>
    <t>#1D4ED8</t>
  </si>
  <si>
    <t>Y</t>
  </si>
  <si>
    <t>⚡</t>
  </si>
  <si>
    <t>Power &amp; Control</t>
  </si>
  <si>
    <t>SYS-ELG-005</t>
  </si>
  <si>
    <t>See SyRS §4.1.2</t>
  </si>
  <si>
    <t>2026-05-24</t>
  </si>
  <si>
    <t>Rectifier</t>
  </si>
  <si>
    <t>Monthly</t>
  </si>
  <si>
    <t>Red</t>
  </si>
  <si>
    <t>#B91C1C</t>
  </si>
  <si>
    <t>🔌</t>
  </si>
  <si>
    <t>DG_GEN</t>
  </si>
  <si>
    <t>DG Generator</t>
  </si>
  <si>
    <t>Annual</t>
  </si>
  <si>
    <t>Amber</t>
  </si>
  <si>
    <t>#92400E</t>
  </si>
  <si>
    <t>🔧</t>
  </si>
  <si>
    <t>Power Generation</t>
  </si>
  <si>
    <t>QJB</t>
  </si>
  <si>
    <t>Quick Junction Box</t>
  </si>
  <si>
    <t>Quarterly</t>
  </si>
  <si>
    <t>Green</t>
  </si>
  <si>
    <t>#15803D</t>
  </si>
  <si>
    <t>Power Distribution</t>
  </si>
  <si>
    <t>IFF</t>
  </si>
  <si>
    <t>IFF Scheduler</t>
  </si>
  <si>
    <t>📡</t>
  </si>
  <si>
    <t>RF / Identification</t>
  </si>
  <si>
    <t>STM</t>
  </si>
  <si>
    <t>Signal Timing Module</t>
  </si>
  <si>
    <t>🕐</t>
  </si>
  <si>
    <t>Signal Processing</t>
  </si>
  <si>
    <t>MCU</t>
  </si>
  <si>
    <t>Master Control Unit</t>
  </si>
  <si>
    <t>💻</t>
  </si>
  <si>
    <t>Processing &amp; Control</t>
  </si>
  <si>
    <t>DBF</t>
  </si>
  <si>
    <t>Digital Beam Forming</t>
  </si>
  <si>
    <t>📶</t>
  </si>
  <si>
    <t>Antenna / Beam</t>
  </si>
  <si>
    <t>DTRM</t>
  </si>
  <si>
    <t>Dual T/R Module</t>
  </si>
  <si>
    <t>RF Transmit/Receive</t>
  </si>
  <si>
    <t>DRM</t>
  </si>
  <si>
    <t>Digital Receiver Module</t>
  </si>
  <si>
    <t>📥</t>
  </si>
  <si>
    <t>NFS</t>
  </si>
  <si>
    <t>North Finding System</t>
  </si>
  <si>
    <t>🧭</t>
  </si>
  <si>
    <t>Navigation/Reference</t>
  </si>
  <si>
    <t>TOTAL ACTIVE SUBSYSTEMS →</t>
  </si>
  <si>
    <t>Total estimated daily time depends on date – see SUMMARY_METRICS</t>
  </si>
  <si>
    <t>CHECKLIST &amp; TASK INSTRUCTION DATA</t>
  </si>
  <si>
    <t>Drives: Daily Checklist Panel · Task Instruction Panel (title, desc, time, tools, PPE, video, image)  |  SyRS: SYS-TSK-001 to SYS-TSK-006</t>
  </si>
  <si>
    <t>Task_ID</t>
  </si>
  <si>
    <t>Step_No</t>
  </si>
  <si>
    <t>Checklist_Item_Short</t>
  </si>
  <si>
    <t>Task_Title</t>
  </si>
  <si>
    <t>Task_Description</t>
  </si>
  <si>
    <t>Approx_Time_min</t>
  </si>
  <si>
    <t>Special_Tools</t>
  </si>
  <si>
    <t>PPE_Requirements</t>
  </si>
  <si>
    <t>Video_Ref_Filename</t>
  </si>
  <si>
    <t>Image_Ref_Filename</t>
  </si>
  <si>
    <t>Mandatory_Flag</t>
  </si>
  <si>
    <t>Completion_Status</t>
  </si>
  <si>
    <t xml:space="preserve">  ▶  Logic Control Unit (LCU) — Weekly</t>
  </si>
  <si>
    <t>LCU-T01</t>
  </si>
  <si>
    <t>Verify Input Power Stability (AC/DC nominal)</t>
  </si>
  <si>
    <t>Input Power Stability Check</t>
  </si>
  <si>
    <t>Digital Multimeter (Fluke 87V)</t>
  </si>
  <si>
    <t>Anti-static wrist strap, Safety glasses</t>
  </si>
  <si>
    <t>LCU_T01_Power_Check.mp4</t>
  </si>
  <si>
    <t>LCU_Power_Panel.jpg</t>
  </si>
  <si>
    <t>SYS-TSK-003</t>
  </si>
  <si>
    <t>PENDING</t>
  </si>
  <si>
    <t>LCU-T02</t>
  </si>
  <si>
    <t>Check all Control Panel Indicator LEDs</t>
  </si>
  <si>
    <t>Control Panel LED Status Verification</t>
  </si>
  <si>
    <t>Inspect all status LEDs on LCU control panel. All green indicators should be lit. Record any red or amber indicators. Cross-check against system event log for correlated fault codes.</t>
  </si>
  <si>
    <t>Visual inspection only</t>
  </si>
  <si>
    <t>Safety glasses</t>
  </si>
  <si>
    <t>LCU_T02_LED_Check.mp4</t>
  </si>
  <si>
    <t>LCU_Panel_LEDs.jpg</t>
  </si>
  <si>
    <t>SYS-TSK-001</t>
  </si>
  <si>
    <t>LCU-T03</t>
  </si>
  <si>
    <t>Inspect and clean Cooling Fans &amp; Vents</t>
  </si>
  <si>
    <t>Cooling Fan &amp; Vent Inspection</t>
  </si>
  <si>
    <t>Remove access panel. Inspect all cooling fans for debris, bearing noise, and proper rotation. Clean fan grilles with compressed air. Verify fan RPM is within rated range. Replace any seized fans.</t>
  </si>
  <si>
    <t>Compressed air can, Soft brush kit, Tachometer</t>
  </si>
  <si>
    <t>Anti-static wrist strap, Safety glasses, Gloves</t>
  </si>
  <si>
    <t>LCU_T03_Fan_Inspect.mp4</t>
  </si>
  <si>
    <t>LCU_Fan_Assembly.jpg</t>
  </si>
  <si>
    <t>LCU-T04</t>
  </si>
  <si>
    <t>Measure DC Bus Voltage (24V ±0.5V)</t>
  </si>
  <si>
    <t>DC Bus Voltage Measurement</t>
  </si>
  <si>
    <t>Measure DC bus voltage at test points TP1 and TP2 on LCU backplane. Record values. Acceptable range: 23.5V to 24.5V. If outside tolerance, check rectifier output and cabling. Log readings.</t>
  </si>
  <si>
    <t>Digital Multimeter</t>
  </si>
  <si>
    <t>Anti-static wrist strap, Insulated probes</t>
  </si>
  <si>
    <t>LCU_T04_Bus_Voltage.mp4</t>
  </si>
  <si>
    <t>LCU_Test_Points.jpg</t>
  </si>
  <si>
    <t>LCU-T05</t>
  </si>
  <si>
    <t>Inspect Cable Looms &amp; Connector Integrity</t>
  </si>
  <si>
    <t>Cable Loom &amp; Connector Visual Inspection</t>
  </si>
  <si>
    <t>Inspect all cable looms inside LCU for chafing, kinking, loose connectors, or signs of overheating. Gently tug each connector to confirm secure seating. Photograph any damaged sections and log.</t>
  </si>
  <si>
    <t>Visual inspection, Torch</t>
  </si>
  <si>
    <t>Anti-static wrist strap</t>
  </si>
  <si>
    <t>LCU_T05_Cable_Inspect.mp4</t>
  </si>
  <si>
    <t>LCU_Cables.jpg</t>
  </si>
  <si>
    <t>LCU-T06</t>
  </si>
  <si>
    <t>Scan Event Log for Fault/Warning Codes</t>
  </si>
  <si>
    <t>Event Log Scan</t>
  </si>
  <si>
    <t>Access LCU diagnostic interface. Export and review last 7 days of event log entries. Note all WARNING or FAULT level codes. Cross-reference with subsystem fault manual. Document any open faults.</t>
  </si>
  <si>
    <t>Laptop with LCU diagnostic software</t>
  </si>
  <si>
    <t>LCU_T06_Event_Log.mp4</t>
  </si>
  <si>
    <t>LCU_Event_Log_Screen.jpg</t>
  </si>
  <si>
    <t xml:space="preserve">  ▶  Rectifier — Monthly</t>
  </si>
  <si>
    <t>REC-T01</t>
  </si>
  <si>
    <t>Verify Input Power Stability</t>
  </si>
  <si>
    <t>Rectifier Input Power Check</t>
  </si>
  <si>
    <t>Measure AC input voltage at rectifier input terminals. Nominal: 415V 3-phase ±5%. Check phase balance. Record L1-L2, L2-L3, L3-L1 readings. Any imbalance &gt;5% must be reported.</t>
  </si>
  <si>
    <t>Digital Multimeter (HV rated)</t>
  </si>
  <si>
    <t>Insulated gloves (1kV), Hard Hat, Safety glasses</t>
  </si>
  <si>
    <t>REC_T01_Input_Power.mp4</t>
  </si>
  <si>
    <t>REC_Input_Terminals.jpg</t>
  </si>
  <si>
    <t>REC-T02</t>
  </si>
  <si>
    <t>Measure DC Output Voltage (24V ±0.5V)</t>
  </si>
  <si>
    <t>DC Output Voltage Measurement</t>
  </si>
  <si>
    <t>Measure DC output at rectifier terminals. Record voltage: nominal 24V DC ±0.5V. Check ripple voltage with oscilloscope if available. Values outside tolerance indicate capacitor or regulation fault.</t>
  </si>
  <si>
    <t>Digital Multimeter, Oscilloscope (optional)</t>
  </si>
  <si>
    <t>Insulated gloves (1kV), Safety glasses</t>
  </si>
  <si>
    <t>REC_T02_DC_Output.mp4</t>
  </si>
  <si>
    <t>REC_Output_Terminals.jpg</t>
  </si>
  <si>
    <t>REC-T03</t>
  </si>
  <si>
    <t>Inspect Cooling Fans &amp; Vents</t>
  </si>
  <si>
    <t>Rectifier Cooling Fan Inspection</t>
  </si>
  <si>
    <t>Inspect rectifier cooling fans and heat-sink fins. Clean with compressed air. Check fan rotation direction and speed. Ensure air-flow is unobstructed. Replace any failed fans before next PM cycle.</t>
  </si>
  <si>
    <t>Compressed air can, Tachometer</t>
  </si>
  <si>
    <t>Safety glasses, Gloves</t>
  </si>
  <si>
    <t>REC_T03_Fans.mp4</t>
  </si>
  <si>
    <t>REC_Fan_Unit.jpg</t>
  </si>
  <si>
    <t>REC-T04</t>
  </si>
  <si>
    <t>Inspect and Lubricate Rotating Antenna Bearings</t>
  </si>
  <si>
    <t>Lubricate Rotating Antenna Bearings</t>
  </si>
  <si>
    <t>Apply specified bearing grease (EP-2) to main bull gear and pinion teeth using grease gun. Apply 2-3 shots per bearing. Rotate antenna drive slowly by hand through 360° to distribute grease evenly. Wipe excess. Log grease quantity used.</t>
  </si>
  <si>
    <t>Grease gun (EP-2 loaded), Rags, Torque wrench</t>
  </si>
  <si>
    <t>Insulated gloves, Hard Hat</t>
  </si>
  <si>
    <t>REC_T04_Bearing_Lube.mp4</t>
  </si>
  <si>
    <t>EP2_Grease_Cartridge.jpg</t>
  </si>
  <si>
    <t>REC-T05</t>
  </si>
  <si>
    <t>Scan Event Log for Warnings</t>
  </si>
  <si>
    <t>Rectifier Event Log Scan</t>
  </si>
  <si>
    <t>Access rectifier management interface. Review event log for last 30 days. Document any over-voltage, under-voltage, overcurrent, or temperature events. Escalate any unresolved faults.</t>
  </si>
  <si>
    <t>Laptop with rectifier diagnostic interface</t>
  </si>
  <si>
    <t>REC_T05_Event_Log.mp4</t>
  </si>
  <si>
    <t>REC_Event_Log.jpg</t>
  </si>
  <si>
    <t xml:space="preserve">  ▶  DG Generator — Annual</t>
  </si>
  <si>
    <t>DGG-T01</t>
  </si>
  <si>
    <t>Check Fuel Level &amp; Inspect for Leaks</t>
  </si>
  <si>
    <t>Fuel Level &amp; Leak Check</t>
  </si>
  <si>
    <t>Inspect fuel tank visual level indicator. Record fuel level in litres. Inspect all fuel lines, connections, and tank base for staining or seepage. Any fuel leak is a safety-critical defect – do not start engine if leak found.</t>
  </si>
  <si>
    <t>Fuel dipstick / level gauge, Torch</t>
  </si>
  <si>
    <t>Coverall, Safety shoes, Gloves</t>
  </si>
  <si>
    <t>DGG_T01_Fuel_Check.mp4</t>
  </si>
  <si>
    <t>DGG_Fuel_System.jpg</t>
  </si>
  <si>
    <t>DGG-T02</t>
  </si>
  <si>
    <t>Verify Engine Oil Level &amp; Colour</t>
  </si>
  <si>
    <t>Engine Oil Level &amp; Condition Check</t>
  </si>
  <si>
    <t>Remove oil dipstick, clean, re-insert, and withdraw. Record oil level: must be between MIN and MAX marks. Observe oil colour: clean (amber) is acceptable; black or milky indicates contamination. Log and change if required.</t>
  </si>
  <si>
    <t>Oil dipstick, Clean rags</t>
  </si>
  <si>
    <t>DGG_T02_Oil_Check.mp4</t>
  </si>
  <si>
    <t>DGG_Oil_Dipstick.jpg</t>
  </si>
  <si>
    <t>DGG-T03</t>
  </si>
  <si>
    <t>Test Governor Frequency Response</t>
  </si>
  <si>
    <t>Governor Frequency Response Test</t>
  </si>
  <si>
    <t>Start DG. Allow 10-min warm-up. Apply 25%, 50%, then 75% rated load in steps. Record frequency at each step. Nominal: 50 Hz ±0.5 Hz. Governor transient recovery time &lt; 3 seconds. Document all readings.</t>
  </si>
  <si>
    <t>Load bank, Frequency meter, Multimeter</t>
  </si>
  <si>
    <t>Coverall, Hearing protection (&gt;85dB), Safety shoes</t>
  </si>
  <si>
    <t>DGG_T03_Governor_Test.mp4</t>
  </si>
  <si>
    <t>DGG_Governor_Unit.jpg</t>
  </si>
  <si>
    <t>DGG-T04</t>
  </si>
  <si>
    <t>Inspect Exhaust System &amp; Clamps</t>
  </si>
  <si>
    <t>Exhaust System Inspection</t>
  </si>
  <si>
    <t>With engine cooled, inspect exhaust manifold, pipes, expansion joints, and muffler for cracks, corrosion, or loose clamps. Tighten all exhaust clamps to specified torque. Note smoke colour during run-up.</t>
  </si>
  <si>
    <t>Torque wrench, Inspection mirror, Torch</t>
  </si>
  <si>
    <t>Coverall, Heat-resistant gloves</t>
  </si>
  <si>
    <t>DGG_T04_Exhaust.mp4</t>
  </si>
  <si>
    <t>DGG_Exhaust_System.jpg</t>
  </si>
  <si>
    <t>DGG-T05</t>
  </si>
  <si>
    <t>Load Test at 75% Rated KVA for 30 min</t>
  </si>
  <si>
    <t>Annual Load Test at 75% Rated KVA</t>
  </si>
  <si>
    <t>Apply load bank set to 75% of rated KVA. Run at steady state for minimum 30 minutes. Record: voltage (V), frequency (Hz), current (A), temperature (°C), and fuel consumption rate. Compare against acceptance baseline.</t>
  </si>
  <si>
    <t>Load bank, Clamp meter, Infra-red thermometer</t>
  </si>
  <si>
    <t>Coverall, Hearing protection, Safety shoes</t>
  </si>
  <si>
    <t>DGG_T05_Load_Test.mp4</t>
  </si>
  <si>
    <t>DGG_Load_Test_Setup.jpg</t>
  </si>
  <si>
    <t>DGG-T06</t>
  </si>
  <si>
    <t>Record Engine Run Hours from Hour Meter</t>
  </si>
  <si>
    <t>Engine Run-Hour Recording</t>
  </si>
  <si>
    <t>Read and record the engine run-hour meter value. Compare against previous record. Calculate hours run since last PM. Confirm oil change and filter replacements are due based on run-hours. Log in PM record.</t>
  </si>
  <si>
    <t>Visual reading</t>
  </si>
  <si>
    <t>Safety shoes</t>
  </si>
  <si>
    <t>DGG_T06_Run_Hours.mp4</t>
  </si>
  <si>
    <t>DGG_Hour_Meter.jpg</t>
  </si>
  <si>
    <t xml:space="preserve">  ▶  Quick Junction Box (QJB) — Quarterly</t>
  </si>
  <si>
    <t>QJB-T01</t>
  </si>
  <si>
    <t>Inspect Junction Busbars for Corrosion</t>
  </si>
  <si>
    <t>Busbar Corrosion Inspection</t>
  </si>
  <si>
    <t>De-energise QJB (Permit to Work mandatory). Remove panel. Inspect all copper busbars for signs of oxidation, discolouration, or pitting. Apply anti-oxidant paste to any corroded surfaces. Photograph findings.</t>
  </si>
  <si>
    <t>Inspection torch, Soft wire brush, Anti-oxidant paste</t>
  </si>
  <si>
    <t>HV rubber gloves (1kV), Face shield, Safety shoes</t>
  </si>
  <si>
    <t>QJB_T01_Busbar_Inspect.mp4</t>
  </si>
  <si>
    <t>QJB_Busbars.jpg</t>
  </si>
  <si>
    <t>QJB-T02</t>
  </si>
  <si>
    <t>Check and Re-torque all Terminal Bolts</t>
  </si>
  <si>
    <t>Terminal Bolt Torque Check</t>
  </si>
  <si>
    <t>Using calibrated torque wrench, re-torque all busbar terminal bolts to manufacturer specification (Nm values in maintenance manual). Mark torqued bolts. Log any stripped or corroded hardware for replacement.</t>
  </si>
  <si>
    <t>Calibrated torque wrench set (Nm), Marker pen</t>
  </si>
  <si>
    <t>HV rubber gloves (1kV), Face shield</t>
  </si>
  <si>
    <t>QJB_T02_Torque.mp4</t>
  </si>
  <si>
    <t>QJB_Terminal_Bolts.jpg</t>
  </si>
  <si>
    <t>QJB-T03</t>
  </si>
  <si>
    <t>Clean Internal Surfaces of Dust/Moisture</t>
  </si>
  <si>
    <t>Internal Cleaning</t>
  </si>
  <si>
    <t>Using dry compressed air and clean rags, remove all dust accumulations from QJB interior, busbars, and insulator surfaces. Check for moisture ingress. Apply silica gel pack if moisture found. Replace door seal if damaged.</t>
  </si>
  <si>
    <t>Compressed air, Dry clean rags, Silica gel</t>
  </si>
  <si>
    <t>HV rubber gloves, Safety glasses</t>
  </si>
  <si>
    <t>QJB_T03_Cleaning.mp4</t>
  </si>
  <si>
    <t>QJB_Interior.jpg</t>
  </si>
  <si>
    <t>QJB-T04</t>
  </si>
  <si>
    <t>Test Overload Trip at 110% Rated Current</t>
  </si>
  <si>
    <t>Overload Trip Test</t>
  </si>
  <si>
    <t>Apply 110% of rated current using test set. Measure and record trip response time. Acceptable: trip within 2 seconds of 110% application. Failed trips indicate protection relay fault – immediate escalation required.</t>
  </si>
  <si>
    <t>Protection relay test set (Omicron / Megger)</t>
  </si>
  <si>
    <t>HV rubber gloves, Face shield</t>
  </si>
  <si>
    <t>QJB_T04_Trip_Test.mp4</t>
  </si>
  <si>
    <t>QJB_Trip_Unit.jpg</t>
  </si>
  <si>
    <t>QJB-T05</t>
  </si>
  <si>
    <t>Measure Insulation Resistance (500V DC)</t>
  </si>
  <si>
    <t>Insulation Resistance Test</t>
  </si>
  <si>
    <t>Using Megger at 500V DC, measure: (a) L1-L2, L2-L3, L3-L1 (line-to-line), (b) L1-E, L2-E, L3-E (line-to-earth). Record all values in MΩ. Minimum acceptable: 100 MΩ. Values below 10 MΩ are critical failures.</t>
  </si>
  <si>
    <t>Megger BM11 (500V DC)</t>
  </si>
  <si>
    <t>QJB_T05_IR_Test.mp4</t>
  </si>
  <si>
    <t>QJB_IR_Test.jpg</t>
  </si>
  <si>
    <t xml:space="preserve">  ▶  IFF Scheduler — Weekly</t>
  </si>
  <si>
    <t>IFF-T01</t>
  </si>
  <si>
    <t>Verify IFF Mode 1/2/3A/C/S Status</t>
  </si>
  <si>
    <t>IFF Mode Status Verification</t>
  </si>
  <si>
    <t>On IFF management console, verify operational status of each IFF mode: Mode 1, Mode 2, Mode 3A, Mode C, Mode S. All should display ACTIVE. Log any INACTIVE or FAULT modes for immediate investigation.</t>
  </si>
  <si>
    <t>IFF management workstation</t>
  </si>
  <si>
    <t>IFF_T01_Mode_Status.mp4</t>
  </si>
  <si>
    <t>IFF_Mode_Display.jpg</t>
  </si>
  <si>
    <t>IFF-T02</t>
  </si>
  <si>
    <t>Check Interrogator RF Power Level</t>
  </si>
  <si>
    <t>RF Power Level Check</t>
  </si>
  <si>
    <t>Using RF power meter, measure interrogator transmit power at antenna port. Compare against nominal value in system specification. Deviation &gt;2 dBm from nominal requires PA module inspection.</t>
  </si>
  <si>
    <t>RF power meter (calibrated), Attenuator</t>
  </si>
  <si>
    <t>RF safety glasses, Anti-static wrist strap</t>
  </si>
  <si>
    <t>IFF_T02_Power_Level.mp4</t>
  </si>
  <si>
    <t>IFF_RF_Power.jpg</t>
  </si>
  <si>
    <t>IFF-T03</t>
  </si>
  <si>
    <t>Test Transponder Reply Rate</t>
  </si>
  <si>
    <t>Transponder Reply Rate Test</t>
  </si>
  <si>
    <t>Send test interrogations using IFF test set. Measure transponder reply rate. Nominal: ≥95% reply efficiency. Log actual percentage. Values below 90% indicate transponder fault or antenna degradation.</t>
  </si>
  <si>
    <t>IFF test set</t>
  </si>
  <si>
    <t>IFF_T03_Reply_Rate.mp4</t>
  </si>
  <si>
    <t>IFF_Test_Set.jpg</t>
  </si>
  <si>
    <t>IFF-T04</t>
  </si>
  <si>
    <t>Inspect Antenna RF Connectors</t>
  </si>
  <si>
    <t>RF Connector Inspection</t>
  </si>
  <si>
    <t>Inspect all SMA/N-type connectors on IFF antenna feed. Look for corrosion, cracked dielectric, bent pins, or moisture. Apply RF connector lubricant sparingly. Replace any damaged connectors.</t>
  </si>
  <si>
    <t>Connector inspection tool, RF connector lubricant</t>
  </si>
  <si>
    <t>Anti-static wrist strap, RF safety glasses</t>
  </si>
  <si>
    <t>IFF_T04_Connectors.mp4</t>
  </si>
  <si>
    <t>IFF_RF_Connectors.jpg</t>
  </si>
  <si>
    <t>IFF-T05</t>
  </si>
  <si>
    <t>Log SIF/Mode C Operational Status</t>
  </si>
  <si>
    <t>SIF and Mode C Status Log</t>
  </si>
  <si>
    <t>Record current SIF and Mode C operational status in PM log. Note any transponder code deviations from assigned codes. Cross-check with ATC coordination log if applicable. Escalate any code discrepancies.</t>
  </si>
  <si>
    <t>IFF management console, PM log</t>
  </si>
  <si>
    <t>IFF_T05_SIF_Log.mp4</t>
  </si>
  <si>
    <t>IFF_SIF_Display.jpg</t>
  </si>
  <si>
    <t xml:space="preserve">  ▶  Signal Timing Module (STM) — Quarterly</t>
  </si>
  <si>
    <t>STM-T01</t>
  </si>
  <si>
    <t>Verify PPS Lock Status</t>
  </si>
  <si>
    <t>1PPS Clock Lock Verification</t>
  </si>
  <si>
    <t>On STM diagnostic display, verify 1PPS (pulse per second) lock indicator is GREEN/LOCKED. If using GPS source, confirm GPS receiver has valid fix with ≥4 satellites. Log lock source and satellite count.</t>
  </si>
  <si>
    <t>STM diagnostic workstation</t>
  </si>
  <si>
    <t>STM_T01_PPS_Lock.mp4</t>
  </si>
  <si>
    <t>STM_PPS_Display.jpg</t>
  </si>
  <si>
    <t>STM-T02</t>
  </si>
  <si>
    <t>Measure Sync Pulse Width</t>
  </si>
  <si>
    <t>Sync Pulse Width Measurement</t>
  </si>
  <si>
    <t>Connect oscilloscope to STM sync output test point. Measure pulse width of timing pulse. Compare to specification value. Deviation &gt;±5ns from nominal requires recalibration. Record exact measurement.</t>
  </si>
  <si>
    <t>Oscilloscope (100 MHz minimum), BNC probe</t>
  </si>
  <si>
    <t>STM_T02_Pulse_Width.mp4</t>
  </si>
  <si>
    <t>STM_Oscilloscope.jpg</t>
  </si>
  <si>
    <t>STM-T03</t>
  </si>
  <si>
    <t>Inspect PCB for Hot Spots</t>
  </si>
  <si>
    <t>PCB Thermal Inspection</t>
  </si>
  <si>
    <t>Using infra-red thermometer or thermal camera, scan STM PCB for thermal hotspots. No component should exceed 85°C. Particular attention to voltage regulators and clock oscillators. Log peak temperatures.</t>
  </si>
  <si>
    <t>Infra-red thermometer / thermal camera</t>
  </si>
  <si>
    <t>STM_T03_Thermal.mp4</t>
  </si>
  <si>
    <t>STM_PCB_Thermal.jpg</t>
  </si>
  <si>
    <t>STM-T04</t>
  </si>
  <si>
    <t>Test Timing Deviation &amp; Log</t>
  </si>
  <si>
    <t>Timing Deviation Measurement</t>
  </si>
  <si>
    <t>Using frequency counter referenced to GPS, measure STM output frequency deviation from nominal. Acceptable: ±5 ns. Record deviation value. Values exceeding limits require oscillator replacement.</t>
  </si>
  <si>
    <t>Frequency counter (GPS-disciplined), BNC cables</t>
  </si>
  <si>
    <t>STM_T04_Timing_Dev.mp4</t>
  </si>
  <si>
    <t>STM_Freq_Counter.jpg</t>
  </si>
  <si>
    <t xml:space="preserve">  ▶  Master Control Unit (MCU) — Annual</t>
  </si>
  <si>
    <t>MCU-T01</t>
  </si>
  <si>
    <t>Execute Full BIT Sequence</t>
  </si>
  <si>
    <t>Built-In-Test (BIT) Execution</t>
  </si>
  <si>
    <t>Launch MCU diagnostic interface. Select 'Full System BIT'. Allow test to complete (approx. 20 min). Record all PASS/FAIL results per test item. Any FAIL item requires investigation before PM can be marked complete.</t>
  </si>
  <si>
    <t>MCU diagnostic workstation, BIT test set</t>
  </si>
  <si>
    <t>MCU_T01_BIT.mp4</t>
  </si>
  <si>
    <t>MCU_BIT_Screen.jpg</t>
  </si>
  <si>
    <t>MCU-T02</t>
  </si>
  <si>
    <t>Replace Backup Battery</t>
  </si>
  <si>
    <t>MCU Backup Battery Replacement</t>
  </si>
  <si>
    <t>Power down MCU following SOP. Locate RTC backup battery (CR2032 or equivalent). Replace with new battery of same specification. Verify date/time retained after power-up. Log install date of new battery.</t>
  </si>
  <si>
    <t>CR2032 battery, Anti-static mat</t>
  </si>
  <si>
    <t>MCU_T02_Battery.mp4</t>
  </si>
  <si>
    <t>MCU_Battery_Location.jpg</t>
  </si>
  <si>
    <t>SYS-FLS-001</t>
  </si>
  <si>
    <t>MCU-T03</t>
  </si>
  <si>
    <t>Check HDD/SSD Health</t>
  </si>
  <si>
    <t>Storage Drive Health Check</t>
  </si>
  <si>
    <t>Run S.M.A.R.T. diagnostic tool on all storage drives. Record health percentage. Drives below 80% health must be scheduled for replacement within 30 days. Check available space: minimum 20% free required.</t>
  </si>
  <si>
    <t>SMART diagnostic software (CrystalDiskInfo or equivalent)</t>
  </si>
  <si>
    <t>MCU_T03_HDD_Health.mp4</t>
  </si>
  <si>
    <t>MCU_Storage_Smart.jpg</t>
  </si>
  <si>
    <t>MCU-T04</t>
  </si>
  <si>
    <t>Verify Software &amp; Firmware Versions</t>
  </si>
  <si>
    <t>Software Version Verification</t>
  </si>
  <si>
    <t>Record OS version, application software version, and firmware version strings. Compare against approved baseline in configuration register. Any unauthorised version changes must be reported as a security incident.</t>
  </si>
  <si>
    <t>MCU management console, Configuration register</t>
  </si>
  <si>
    <t>MCU_T04_Versions.mp4</t>
  </si>
  <si>
    <t>MCU_Version_Screen.jpg</t>
  </si>
  <si>
    <t>MCU-T05</t>
  </si>
  <si>
    <t>Test Watchdog Timer</t>
  </si>
  <si>
    <t>Watchdog Timer Test</t>
  </si>
  <si>
    <t>Using MCU diagnostic mode, simulate application hang to trigger watchdog reset. Verify MCU reboots within specified watchdog timeout (typically 30 seconds). Log watchdog timeout setting and test result.</t>
  </si>
  <si>
    <t>MCU diagnostic interface</t>
  </si>
  <si>
    <t>MCU_T05_Watchdog.mp4</t>
  </si>
  <si>
    <t>MCU_WDT_Test.jpg</t>
  </si>
  <si>
    <t>MCU-T06</t>
  </si>
  <si>
    <t>Backup All Configuration Files</t>
  </si>
  <si>
    <t>Configuration Backup</t>
  </si>
  <si>
    <t>Using USB backup drive or network path, copy all configuration files: radar parameters, maintenance schedules, user database, calibration data. Verify backup integrity with checksum. Label backup with date and version.</t>
  </si>
  <si>
    <t>USB backup drive (encrypted) or network share</t>
  </si>
  <si>
    <t>MCU_T06_Backup.mp4</t>
  </si>
  <si>
    <t>MCU_Config_Backup.jpg</t>
  </si>
  <si>
    <t xml:space="preserve">  ▶  Digital Beam Forming (DBF) — Quarterly</t>
  </si>
  <si>
    <t>DBF-T01</t>
  </si>
  <si>
    <t>Verify Beam Forming Weight File Load</t>
  </si>
  <si>
    <t>Beam Weight File Verification</t>
  </si>
  <si>
    <t>On DBF management console, verify beam forming coefficient file has loaded correctly. Check file version matches approved baseline. Any load error requires re-upload from configuration management server.</t>
  </si>
  <si>
    <t>DBF management workstation</t>
  </si>
  <si>
    <t>DBF_T01_Weights.mp4</t>
  </si>
  <si>
    <t>DBF_Weight_Console.jpg</t>
  </si>
  <si>
    <t>DBF-T02</t>
  </si>
  <si>
    <t>Measure Antenna Null Depth</t>
  </si>
  <si>
    <t>Null Depth Measurement</t>
  </si>
  <si>
    <t>Using signal analyser and test antenna, measure antenna pattern null depth. Compare against design specification. Degraded null depth indicates beam weight corruption or FPGA fault. Record in dB.</t>
  </si>
  <si>
    <t>Signal analyser, Calibrated test antenna</t>
  </si>
  <si>
    <t>DBF_T02_Null_Depth.mp4</t>
  </si>
  <si>
    <t>DBF_Null_Measure.jpg</t>
  </si>
  <si>
    <t>DBF-T03</t>
  </si>
  <si>
    <t>Check FPGA Die Temperature</t>
  </si>
  <si>
    <t>FPGA Thermal Check</t>
  </si>
  <si>
    <t>Read FPGA die temperature from DBF health monitoring interface. Nominal operating range: 40–75°C. Values above 85°C indicate cooling failure. Log temperature. Check FPGA fan and heat-sink contact.</t>
  </si>
  <si>
    <t>DBF health monitoring interface</t>
  </si>
  <si>
    <t>DBF_T03_FPGA_Temp.mp4</t>
  </si>
  <si>
    <t>DBF_FPGA_Thermal.jpg</t>
  </si>
  <si>
    <t>DBF-T04</t>
  </si>
  <si>
    <t>Inspect RF Connectors</t>
  </si>
  <si>
    <t>Inspect all RF connectors on DBF input/output ports. Check for corrosion, damage, or loose connections. Apply RF connector lubricant to SMA connectors. Torque to specification using torque wrench.</t>
  </si>
  <si>
    <t>RF connector lubricant, Torque wrench (SMA)</t>
  </si>
  <si>
    <t>DBF_T04_RF_Conn.mp4</t>
  </si>
  <si>
    <t>DBF_RF_Connectors.jpg</t>
  </si>
  <si>
    <t xml:space="preserve">  ▶  Dual T/R Module (DTRM) — Monthly</t>
  </si>
  <si>
    <t>DTRM-T01</t>
  </si>
  <si>
    <t>Check Receiver Noise Figure</t>
  </si>
  <si>
    <t>Noise Figure Measurement</t>
  </si>
  <si>
    <t>Using noise figure analyser, measure RX noise figure at DTRM input port across operating bandwidth. Compare against specification. Degradation &gt;1 dB above spec requires LNA inspection. Record measurement.</t>
  </si>
  <si>
    <t>Noise figure analyser (Keysight N8975A or equivalent), Calibrated noise source</t>
  </si>
  <si>
    <t>DTRM_T01_NF.mp4</t>
  </si>
  <si>
    <t>DTRM_NF_Setup.jpg</t>
  </si>
  <si>
    <t>DTRM-T02</t>
  </si>
  <si>
    <t>Verify T/R Module Bias Voltages</t>
  </si>
  <si>
    <t>T/R Bias Voltage Check</t>
  </si>
  <si>
    <t>Using multimeter, measure T/R module gate, drain, and source bias voltages at test points. Compare to values in DTRM specification sheet. Out-of-spec voltages indicate bias circuit fault.</t>
  </si>
  <si>
    <t>Digital multimeter, DTRM specification sheet</t>
  </si>
  <si>
    <t>DTRM_T02_Bias.mp4</t>
  </si>
  <si>
    <t>DTRM_Test_Points.jpg</t>
  </si>
  <si>
    <t>DTRM-T03</t>
  </si>
  <si>
    <t>Inspect Waveguide Joints</t>
  </si>
  <si>
    <t>Waveguide Joint Inspection</t>
  </si>
  <si>
    <t>Visually inspect all waveguide flanges and joints for alignment, gasket condition, and signs of RF leakage (RF detector to be used if available). Re-torque flange bolts to specification. Replace any damaged gaskets.</t>
  </si>
  <si>
    <t>Torque wrench, RF leakage detector (optional), Waveguide gaskets</t>
  </si>
  <si>
    <t>RF safety glasses</t>
  </si>
  <si>
    <t>DTRM_T03_Waveguide.mp4</t>
  </si>
  <si>
    <t>DTRM_Waveguide.jpg</t>
  </si>
  <si>
    <t>DTRM-T04</t>
  </si>
  <si>
    <t>Measure Gain Flatness Across Bandwidth</t>
  </si>
  <si>
    <t>Gain Flatness Check</t>
  </si>
  <si>
    <t>Using vector network analyser or signal analyser, measure gain flatness across DTRM operating bandwidth. Acceptable: ±2 dB. Peaks or dips outside this range indicate filter or amplifier degradation.</t>
  </si>
  <si>
    <t>VNA or signal analyser, Calibrated RF cables</t>
  </si>
  <si>
    <t>DTRM_T04_Gain.mp4</t>
  </si>
  <si>
    <t>DTRM_Gain_Plot.jpg</t>
  </si>
  <si>
    <t>DTRM-T05</t>
  </si>
  <si>
    <t>Check DTRM BIT Status</t>
  </si>
  <si>
    <t>DTRM Built-In-Test</t>
  </si>
  <si>
    <t>Via DTRM diagnostic interface, execute built-in-test (BIT). Verify all test items return PASS. Log any FAIL items with fault code. BIT failure must be investigated and resolved before marking PM complete.</t>
  </si>
  <si>
    <t>DTRM diagnostic interface</t>
  </si>
  <si>
    <t>DTRM_T05_BIT.mp4</t>
  </si>
  <si>
    <t>DTRM_BIT_Screen.jpg</t>
  </si>
  <si>
    <t xml:space="preserve">  ▶  Digital Receiver Module (DRM) — Quarterly</t>
  </si>
  <si>
    <t>DRM-T01</t>
  </si>
  <si>
    <t>Measure ADC Dynamic Range</t>
  </si>
  <si>
    <t>ADC Dynamic Range Measurement</t>
  </si>
  <si>
    <t>Using calibrated signal source, inject test signal at DRM input. Measure ADC dynamic range using spectrum analyser. Compare SFDR and SNR against specification. Degraded performance indicates ADC component failure.</t>
  </si>
  <si>
    <t>Signal generator, Spectrum analyser</t>
  </si>
  <si>
    <t>DRM_T01_ADC.mp4</t>
  </si>
  <si>
    <t>DRM_ADC_Test.jpg</t>
  </si>
  <si>
    <t>DRM-T02</t>
  </si>
  <si>
    <t>Check I/Q Channel Balance</t>
  </si>
  <si>
    <t>I/Q Channel Balance Measurement</t>
  </si>
  <si>
    <t>Inject single-tone test signal. Measure I/Q amplitude imbalance and phase imbalance using VNA. Amplitude balance: ±1 dB; Phase balance: ±1°. Imbalance outside spec causes image rejection degradation.</t>
  </si>
  <si>
    <t>VNA, Calibrated signal source</t>
  </si>
  <si>
    <t>DRM_T02_IQ.mp4</t>
  </si>
  <si>
    <t>DRM_IQ_Balance.jpg</t>
  </si>
  <si>
    <t>DRM-T03</t>
  </si>
  <si>
    <t>Run DRM BIT</t>
  </si>
  <si>
    <t>DRM Built-In-Test</t>
  </si>
  <si>
    <t>Execute DRM full BIT sequence from diagnostic interface. Record all test item results. Verify digital filter coefficient version matches configuration baseline. Log pass/fail counts.</t>
  </si>
  <si>
    <t>DRM diagnostic workstation</t>
  </si>
  <si>
    <t>DRM_T03_BIT.mp4</t>
  </si>
  <si>
    <t>DRM_BIT_Screen.jpg</t>
  </si>
  <si>
    <t>DRM-T04</t>
  </si>
  <si>
    <t>Inspect PCB for Hot Spots &amp; Damage</t>
  </si>
  <si>
    <t>PCB Visual &amp; Thermal Inspection</t>
  </si>
  <si>
    <t>Remove DRM unit from rack. Inspect PCB visually for burnt components, lifted pads, or swollen capacitors. Use IR thermometer to check FPGA and regulator temperatures. Log any findings.</t>
  </si>
  <si>
    <t>IR thermometer, Visual inspection</t>
  </si>
  <si>
    <t>DRM_T04_PCB.mp4</t>
  </si>
  <si>
    <t>DRM_PCB_View.jpg</t>
  </si>
  <si>
    <t xml:space="preserve">  ▶  North Finding System (NFS) — Quarterly</t>
  </si>
  <si>
    <t>NFS-T01</t>
  </si>
  <si>
    <t>Run Gyro Self-Test Sequence</t>
  </si>
  <si>
    <t>Gyro Self-Test</t>
  </si>
  <si>
    <t>Power up NFS. Execute built-in gyro self-test from NFS control panel. All self-test items must return PASS. FAIL items indicate gyro bearing wear, thermal drift, or electronics fault. Log test report.</t>
  </si>
  <si>
    <t>NFS control console</t>
  </si>
  <si>
    <t>Safety shoes, Anti-static wrist strap</t>
  </si>
  <si>
    <t>NFS_T01_Self_Test.mp4</t>
  </si>
  <si>
    <t>NFS_Gyro_Console.jpg</t>
  </si>
  <si>
    <t>NFS-T02</t>
  </si>
  <si>
    <t>Verify Mechanical Levelling (≤0.1°)</t>
  </si>
  <si>
    <t>Mechanical Level Check</t>
  </si>
  <si>
    <t>Using precision spirit level or electronic level gauge, measure NFS platform levelness in both X and Y axes. Acceptable: ±0.1°. Adjust levelling feet if outside tolerance. Re-verify after adjustment.</t>
  </si>
  <si>
    <t>Electronic level gauge (0.01° resolution)</t>
  </si>
  <si>
    <t>NFS_T02_Level.mp4</t>
  </si>
  <si>
    <t>NFS_Level_Gauge.jpg</t>
  </si>
  <si>
    <t>NFS-T03</t>
  </si>
  <si>
    <t>Verify Azimuth Reference Output</t>
  </si>
  <si>
    <t>Azimuth Output Verification</t>
  </si>
  <si>
    <t>Cross-check NFS azimuth output against known survey reference marker (azimuth value in site survey document). Acceptable deviation: ±0.1°. Deviation outside tolerance requires gyro recalibration procedure.</t>
  </si>
  <si>
    <t>Survey theodolite or known reference azimuth</t>
  </si>
  <si>
    <t>NFS_T03_Azimuth.mp4</t>
  </si>
  <si>
    <t>NFS_Azimuth_Check.jpg</t>
  </si>
  <si>
    <t>NFS-T04</t>
  </si>
  <si>
    <t>Test Drift Correction Function</t>
  </si>
  <si>
    <t>Drift Correction Test</t>
  </si>
  <si>
    <t>Disable drift correction and monitor azimuth drift for 5 minutes. Re-enable drift correction. Verify correction engages and returns azimuth to reference within specified time. Log drift rate in °/hour.</t>
  </si>
  <si>
    <t>NFS diagnostic interface, Stopwatch</t>
  </si>
  <si>
    <t>NFS_T04_Drift.mp4</t>
  </si>
  <si>
    <t>NFS_Drift_Test.jpg</t>
  </si>
  <si>
    <t>SYSTEM INVENTORY MONITOR — CONSUMABLES</t>
  </si>
  <si>
    <t>Drives: System Inventory Monitor Panel (Header Bar) · Inventory Tab  |  SyRS: SYS-INV-001 to SYS-INV-004  |  Interface: INF-01</t>
  </si>
  <si>
    <t>Item_ID</t>
  </si>
  <si>
    <t>Consumable_Item_Name</t>
  </si>
  <si>
    <t>Associated_Subsystems</t>
  </si>
  <si>
    <t>Unit_of_Measure</t>
  </si>
  <si>
    <t>Current_Qty</t>
  </si>
  <si>
    <t>Alert_Threshold</t>
  </si>
  <si>
    <t>Status</t>
  </si>
  <si>
    <t>Last_Replenished</t>
  </si>
  <si>
    <t>Supplier_Ref</t>
  </si>
  <si>
    <t>Storage_Location</t>
  </si>
  <si>
    <t>C-001</t>
  </si>
  <si>
    <t>LCU Coolant (Low-Cond)</t>
  </si>
  <si>
    <t>L</t>
  </si>
  <si>
    <t>Adequate</t>
  </si>
  <si>
    <t>2026-05-01</t>
  </si>
  <si>
    <t>COOL-LCU-LC</t>
  </si>
  <si>
    <t>Store A-Shelf 2</t>
  </si>
  <si>
    <t>SYS-INV-003</t>
  </si>
  <si>
    <t>De-ionised low-conductivity; check conductivity &lt;10 µS/cm</t>
  </si>
  <si>
    <t>C-002</t>
  </si>
  <si>
    <t>DI Filter (LCU)</t>
  </si>
  <si>
    <t>pcs</t>
  </si>
  <si>
    <t>2026-03-15</t>
  </si>
  <si>
    <t>FILT-DI-001</t>
  </si>
  <si>
    <t>Store A-Shelf 3</t>
  </si>
  <si>
    <t>Replace every 6 months regardless of condition</t>
  </si>
  <si>
    <t>C-003</t>
  </si>
  <si>
    <t>Misron Filter (LCU)</t>
  </si>
  <si>
    <t>FILT-MSR-01</t>
  </si>
  <si>
    <t>Inspect for discolouration – replace if brown/black</t>
  </si>
  <si>
    <t>C-004</t>
  </si>
  <si>
    <t>O-Rings (LCU)</t>
  </si>
  <si>
    <t>2026-04-10</t>
  </si>
  <si>
    <t>ORING-LCU-A</t>
  </si>
  <si>
    <t>Store B-Bin 12</t>
  </si>
  <si>
    <t>BS1806 standard; keep in sealed bag away from UV</t>
  </si>
  <si>
    <t>C-005</t>
  </si>
  <si>
    <t>Lube Oil 15W-40 (DC)</t>
  </si>
  <si>
    <t>Low Stock</t>
  </si>
  <si>
    <t>2026-01-20</t>
  </si>
  <si>
    <t>OIL-15W40-DC</t>
  </si>
  <si>
    <t>Store A-Shelf 1</t>
  </si>
  <si>
    <t>⚠ LOW STOCK – Order required; API SL specification</t>
  </si>
  <si>
    <t>C-006</t>
  </si>
  <si>
    <t>Lub Filter (FGJ)</t>
  </si>
  <si>
    <t>FILT-FGJ-01</t>
  </si>
  <si>
    <t>Store A-Shelf 4</t>
  </si>
  <si>
    <t>⚠ LOW STOCK – Part no. FGJ-1042; order 5 units</t>
  </si>
  <si>
    <t>C-007</t>
  </si>
  <si>
    <t>Oil Filter (OU)</t>
  </si>
  <si>
    <t>2026-04-01</t>
  </si>
  <si>
    <t>FILT-OU-001</t>
  </si>
  <si>
    <t>Cross-reference: OU-Filter FRAM PH3506</t>
  </si>
  <si>
    <t>C-008</t>
  </si>
  <si>
    <t>Air Filter (CU)</t>
  </si>
  <si>
    <t>FILT-AIR-CU</t>
  </si>
  <si>
    <t>Store B-Shelf 1</t>
  </si>
  <si>
    <t>Baldwin B1438 equivalent; replace every 250 run-hrs</t>
  </si>
  <si>
    <t>C-009</t>
  </si>
  <si>
    <t>Ionizer Media</t>
  </si>
  <si>
    <t>2026-03-01</t>
  </si>
  <si>
    <t>ION-MEDIA-01</t>
  </si>
  <si>
    <t>Store C-Bin 4</t>
  </si>
  <si>
    <t>Ionex or equivalent; regenerate or replace per spec</t>
  </si>
  <si>
    <t>C-010</t>
  </si>
  <si>
    <t>Glycol (DG Coolant)</t>
  </si>
  <si>
    <t>GLYCOL-EG-50</t>
  </si>
  <si>
    <t>50/50 ethylene glycol-water pre-mix; ASTM D3306</t>
  </si>
  <si>
    <t>C-011</t>
  </si>
  <si>
    <t>DM Water</t>
  </si>
  <si>
    <t>LCU/DG</t>
  </si>
  <si>
    <t>DM-WATER-001</t>
  </si>
  <si>
    <t>Store A-Tank 1</t>
  </si>
  <si>
    <t>Resistivity &gt;1 MΩ·cm; test before use</t>
  </si>
  <si>
    <t>C-012</t>
  </si>
  <si>
    <t>Bearing Grease EP-2</t>
  </si>
  <si>
    <t>cartridge</t>
  </si>
  <si>
    <t>2026-04-20</t>
  </si>
  <si>
    <t>GREASE-EP2-A</t>
  </si>
  <si>
    <t>Store B-Bin 8</t>
  </si>
  <si>
    <t>NLGI Grade 2; apply 2-3 shots per bearing per PM</t>
  </si>
  <si>
    <t>C-013</t>
  </si>
  <si>
    <t>Contact Cleaner Spray</t>
  </si>
  <si>
    <t>can</t>
  </si>
  <si>
    <t>2026-03-10</t>
  </si>
  <si>
    <t>CCS-MG-001</t>
  </si>
  <si>
    <t>Store B-Bin 5</t>
  </si>
  <si>
    <t>MG Chemicals 409B or equivalent; non-conductive</t>
  </si>
  <si>
    <t>C-014</t>
  </si>
  <si>
    <t>Anti-Oxidant Paste</t>
  </si>
  <si>
    <t>g</t>
  </si>
  <si>
    <t>AOPASTE-001</t>
  </si>
  <si>
    <t>Store B-Bin 6</t>
  </si>
  <si>
    <t>Apply thin layer to busbar contact surfaces only</t>
  </si>
  <si>
    <t>C-015</t>
  </si>
  <si>
    <t>RF Connector Lubricant</t>
  </si>
  <si>
    <t>IFF/DBF/DTRM</t>
  </si>
  <si>
    <t>ml</t>
  </si>
  <si>
    <t>2026-02-15</t>
  </si>
  <si>
    <t>RF-CONN-LUB</t>
  </si>
  <si>
    <t>Store C-Bin 2</t>
  </si>
  <si>
    <t>Nyogel 760G or equivalent; SMA and N-type connectors</t>
  </si>
  <si>
    <t>C-016</t>
  </si>
  <si>
    <t>Thermal Paste</t>
  </si>
  <si>
    <t>MCU/DBF/DRM</t>
  </si>
  <si>
    <t>THPASTE-001</t>
  </si>
  <si>
    <t>Store C-Bin 3</t>
  </si>
  <si>
    <t>Arctic Silver 5 or equivalent; &lt;0.1mm application</t>
  </si>
  <si>
    <t>C-017</t>
  </si>
  <si>
    <t>Backup Battery CR2032</t>
  </si>
  <si>
    <t>2026-01-10</t>
  </si>
  <si>
    <t>BATT-CR2032</t>
  </si>
  <si>
    <t>Store C-Bin 7</t>
  </si>
  <si>
    <t>Renata or Panasonic only; check expiry date before use</t>
  </si>
  <si>
    <t>C-018</t>
  </si>
  <si>
    <t>Waveguide Sealant</t>
  </si>
  <si>
    <t>2026-02-01</t>
  </si>
  <si>
    <t>WG-SEAL-001</t>
  </si>
  <si>
    <t>Store C-Bin 1</t>
  </si>
  <si>
    <t>Dow Corning DC-4 compound; apply to flange face only</t>
  </si>
  <si>
    <t>C-019</t>
  </si>
  <si>
    <t>Gyro Bearing Grease</t>
  </si>
  <si>
    <t>2026-02-20</t>
  </si>
  <si>
    <t>GYRO-GRS-01</t>
  </si>
  <si>
    <t>Store C-Bin 5</t>
  </si>
  <si>
    <t>OEM-specified grade only; do not substitute</t>
  </si>
  <si>
    <t>C-020</t>
  </si>
  <si>
    <t>Cable Ties (Assorted)</t>
  </si>
  <si>
    <t>All</t>
  </si>
  <si>
    <t>CTIE-AST-01</t>
  </si>
  <si>
    <t>Store D-Bin 1</t>
  </si>
  <si>
    <t>Nylon 66; UV stabilised for external use</t>
  </si>
  <si>
    <t>TOTAL ITEMS MONITORED →</t>
  </si>
  <si>
    <t>← Low Stock Count</t>
  </si>
  <si>
    <t>FIXED LIFE SPAN SPARES MONITOR</t>
  </si>
  <si>
    <t>Drives: Inventory Tab → Fixed Life Span Spares Section · Alert Pop-ups  |  SyRS: SYS-FLS-001, SYS-FLS-002, SYS-INV-005, SYS-INV-006</t>
  </si>
  <si>
    <t>Spare_ID</t>
  </si>
  <si>
    <t>Spare_Item_Name</t>
  </si>
  <si>
    <t>Total_Life_Months</t>
  </si>
  <si>
    <t>Install_Date</t>
  </si>
  <si>
    <t>Replace_By_Date</t>
  </si>
  <si>
    <t>Months_Remaining</t>
  </si>
  <si>
    <t>Alert_Level</t>
  </si>
  <si>
    <t>Supplier_Part_No</t>
  </si>
  <si>
    <t>Replacement_Action</t>
  </si>
  <si>
    <t>S-001</t>
  </si>
  <si>
    <t>LCU Fan Assembly</t>
  </si>
  <si>
    <t>2024-01-15</t>
  </si>
  <si>
    <t>2026-01-15</t>
  </si>
  <si>
    <t>OK</t>
  </si>
  <si>
    <t>FAN-LCU-A01</t>
  </si>
  <si>
    <t>Store A-2</t>
  </si>
  <si>
    <t>Order replacement; schedule swap next PM window</t>
  </si>
  <si>
    <t>S-002</t>
  </si>
  <si>
    <t>LCU Capacitor Bank</t>
  </si>
  <si>
    <t>2023-03-10</t>
  </si>
  <si>
    <t>CAP-LCU-B01</t>
  </si>
  <si>
    <t>Electrolytic capacitor bank; monitor for bulging</t>
  </si>
  <si>
    <t>S-003</t>
  </si>
  <si>
    <t>LCU DC Fuse Block</t>
  </si>
  <si>
    <t>2022-06-01</t>
  </si>
  <si>
    <t>2026-06-01</t>
  </si>
  <si>
    <t>⚠ WARNING</t>
  </si>
  <si>
    <t>FUSE-DC-001</t>
  </si>
  <si>
    <t>Store A-3</t>
  </si>
  <si>
    <t>SYS-FLS-002</t>
  </si>
  <si>
    <t>1 month remaining – order and schedule NOW</t>
  </si>
  <si>
    <t>S-004</t>
  </si>
  <si>
    <t>Rectifier Diode Module</t>
  </si>
  <si>
    <t>2023-03-15</t>
  </si>
  <si>
    <t>DIODE-REC-01</t>
  </si>
  <si>
    <t>Store A-4</t>
  </si>
  <si>
    <t>Vishay VS-26MT160 or equivalent</t>
  </si>
  <si>
    <t>S-005</t>
  </si>
  <si>
    <t>Rectifier Fan Motor</t>
  </si>
  <si>
    <t>2024-11-10</t>
  </si>
  <si>
    <t>2026-11-10</t>
  </si>
  <si>
    <t>FAN-REC-M01</t>
  </si>
  <si>
    <t>Ebm-papst 4800 series or OEM equivalent</t>
  </si>
  <si>
    <t>S-006</t>
  </si>
  <si>
    <t>DG Battery (Lead-Acid)</t>
  </si>
  <si>
    <t>2024-06-01</t>
  </si>
  <si>
    <t>2025-12-01</t>
  </si>
  <si>
    <t>🔴 EXPIRED</t>
  </si>
  <si>
    <t>BATT-DG-12V</t>
  </si>
  <si>
    <t>Store B-1</t>
  </si>
  <si>
    <t>⚠ LIFE EXPIRED – Replace immediately before next DG run</t>
  </si>
  <si>
    <t>S-007</t>
  </si>
  <si>
    <t>DG Fuel Filter</t>
  </si>
  <si>
    <t>2025-06-01</t>
  </si>
  <si>
    <t>FILT-FUEL-A</t>
  </si>
  <si>
    <t>Replacement overdue – do not run DG without change</t>
  </si>
  <si>
    <t>S-008</t>
  </si>
  <si>
    <t>DG Air Filter Element</t>
  </si>
  <si>
    <t>2026-09-01</t>
  </si>
  <si>
    <t>FILT-AIR-A1</t>
  </si>
  <si>
    <t>Store B-2</t>
  </si>
  <si>
    <t>Baldwin B1438; 250 run-hr or 6-month whichever sooner</t>
  </si>
  <si>
    <t>S-009</t>
  </si>
  <si>
    <t>DG Drive Belt</t>
  </si>
  <si>
    <t>2024-02-01</t>
  </si>
  <si>
    <t>BELT-DG-001</t>
  </si>
  <si>
    <t>Store B-3</t>
  </si>
  <si>
    <t>⚠ LIFE EXPIRED – Replace before next annual PM</t>
  </si>
  <si>
    <t>S-010</t>
  </si>
  <si>
    <t>QJB Busbar Insulator Block</t>
  </si>
  <si>
    <t>2022-04-01</t>
  </si>
  <si>
    <t>INSUL-QJB-A</t>
  </si>
  <si>
    <t>Store B-4</t>
  </si>
  <si>
    <t>⚠ EXPIRED – Critical safety item; immediate replacement</t>
  </si>
  <si>
    <t>S-011</t>
  </si>
  <si>
    <t>QJB Overload Trip Unit</t>
  </si>
  <si>
    <t>2021-01-01</t>
  </si>
  <si>
    <t>2026-01-01</t>
  </si>
  <si>
    <t>TRIP-QJB-01</t>
  </si>
  <si>
    <t>⚠ EXPIRED – Request immediate replacement from stores</t>
  </si>
  <si>
    <t>S-012</t>
  </si>
  <si>
    <t>IFF Attenuator Pad</t>
  </si>
  <si>
    <t>2024-11-01</t>
  </si>
  <si>
    <t>2027-05-01</t>
  </si>
  <si>
    <t>ATT-IFF-6DB</t>
  </si>
  <si>
    <t>Store C-1</t>
  </si>
  <si>
    <t>Mini-Circuits VAT-6+ or equivalent</t>
  </si>
  <si>
    <t>S-013</t>
  </si>
  <si>
    <t>IFF PA Module</t>
  </si>
  <si>
    <t>2022-02-01</t>
  </si>
  <si>
    <t>PA-IFF-001</t>
  </si>
  <si>
    <t>⚠ EXPIRED – Critical RF component; schedule replacement</t>
  </si>
  <si>
    <t>S-014</t>
  </si>
  <si>
    <t>STM Clock/Oscillator Module</t>
  </si>
  <si>
    <t>2022-01-01</t>
  </si>
  <si>
    <t>2027-01-01</t>
  </si>
  <si>
    <t>OSC-STM-10M</t>
  </si>
  <si>
    <t>Store C-2</t>
  </si>
  <si>
    <t>OCXO 10 MHz; re-calibrate at replacement</t>
  </si>
  <si>
    <t>S-015</t>
  </si>
  <si>
    <t>MCU Backup Battery</t>
  </si>
  <si>
    <t>2023-05-01</t>
  </si>
  <si>
    <t>2025-05-01</t>
  </si>
  <si>
    <t>Store C-3</t>
  </si>
  <si>
    <t>⚠ EXPIRED – Replace CR2032; verify date/time after</t>
  </si>
  <si>
    <t>S-016</t>
  </si>
  <si>
    <t>DBF FPGA Module</t>
  </si>
  <si>
    <t>2028-02-01</t>
  </si>
  <si>
    <t>FPGA-DBF-X1</t>
  </si>
  <si>
    <t>Store C-4</t>
  </si>
  <si>
    <t>Xilinx Kintex-7 XC7K325T; ESD-sensitive</t>
  </si>
  <si>
    <t>S-017</t>
  </si>
  <si>
    <t>T/R Module (DTRM)</t>
  </si>
  <si>
    <t>2023-08-01</t>
  </si>
  <si>
    <t>2026-08-01</t>
  </si>
  <si>
    <t>TRM-DTRM-01</t>
  </si>
  <si>
    <t>Store C-5</t>
  </si>
  <si>
    <t>OEM part; check MTBF log at replacement</t>
  </si>
  <si>
    <t>S-018</t>
  </si>
  <si>
    <t>Gyro Bearing (NFS)</t>
  </si>
  <si>
    <t>2024-04-01</t>
  </si>
  <si>
    <t>BEAR-NFS-01</t>
  </si>
  <si>
    <t>Store C-6</t>
  </si>
  <si>
    <t>2 months remaining – order and schedule replacement NOW</t>
  </si>
  <si>
    <t>ALERT SUMMARY →</t>
  </si>
  <si>
    <t>Low Stock / Expired</t>
  </si>
  <si>
    <t>CALENDAR EVENT SCHEDULE</t>
  </si>
  <si>
    <t>Drives: 7×5 Calendar Grid · Colour-coding by Frequency  |  SyRS: SYS-SCH-001 to SYS-SCH-006</t>
  </si>
  <si>
    <t>Event_Date</t>
  </si>
  <si>
    <t>Day_of_Week</t>
  </si>
  <si>
    <t>Subsystem_Name</t>
  </si>
  <si>
    <t>Colour_Code</t>
  </si>
  <si>
    <t>Duration_hrs</t>
  </si>
  <si>
    <t>Calendar_Label</t>
  </si>
  <si>
    <t>Friday</t>
  </si>
  <si>
    <t>Rectifier – Monthly</t>
  </si>
  <si>
    <t>Auto-generated from frequency rules</t>
  </si>
  <si>
    <t>DTRM – Monthly</t>
  </si>
  <si>
    <t>2026-05-04</t>
  </si>
  <si>
    <t>Monday</t>
  </si>
  <si>
    <t>LCU – Weekly</t>
  </si>
  <si>
    <t>IFF – Weekly</t>
  </si>
  <si>
    <t>2026-05-11</t>
  </si>
  <si>
    <t>2026-05-18</t>
  </si>
  <si>
    <t>2026-05-25</t>
  </si>
  <si>
    <t>2026-06-08</t>
  </si>
  <si>
    <t>2026-06-15</t>
  </si>
  <si>
    <t>2026-06-22</t>
  </si>
  <si>
    <t>2026-06-29</t>
  </si>
  <si>
    <t>USER REGISTER — ROLE-BASED ACCESS CONTROL (RBAC)</t>
  </si>
  <si>
    <t>Drives: Authentication &amp; RBAC module  |  SyRS: SYS-SEC-001 to SYS-SEC-005  |  Interface: INF-05 (LDAP)</t>
  </si>
  <si>
    <t>User_ID</t>
  </si>
  <si>
    <t>Full_Name</t>
  </si>
  <si>
    <t>Role</t>
  </si>
  <si>
    <t>Permissions</t>
  </si>
  <si>
    <t>Email</t>
  </si>
  <si>
    <t>Last_Login</t>
  </si>
  <si>
    <t>Expiry_Date</t>
  </si>
  <si>
    <t>ADMIN001</t>
  </si>
  <si>
    <t>Radar Admin User</t>
  </si>
  <si>
    <t>Administrator</t>
  </si>
  <si>
    <t>Full access: read/write/schedule/approve/configure/audit</t>
  </si>
  <si>
    <t>admin@radar-maint.mil</t>
  </si>
  <si>
    <t>Active</t>
  </si>
  <si>
    <t>2026-06-05</t>
  </si>
  <si>
    <t>2027-05-31</t>
  </si>
  <si>
    <t>System administrator; all permissions</t>
  </si>
  <si>
    <t>ENG001</t>
  </si>
  <si>
    <t>Systems Engineer (SE1)</t>
  </si>
  <si>
    <t>Engineer</t>
  </si>
  <si>
    <t>Read/Write/Schedule/Reschedule/Export PDF/Approve PM</t>
  </si>
  <si>
    <t>eng001@radar-maint.mil</t>
  </si>
  <si>
    <t>2026-06-04</t>
  </si>
  <si>
    <t>2026-12-31</t>
  </si>
  <si>
    <t>Lead engineer; SyRS SYS-RPT-003 Reschedule authority</t>
  </si>
  <si>
    <t>ENG002</t>
  </si>
  <si>
    <t>Systems Engineer (SE2)</t>
  </si>
  <si>
    <t>eng002@radar-maint.mil</t>
  </si>
  <si>
    <t>2026-06-03</t>
  </si>
  <si>
    <t>Deputy engineer</t>
  </si>
  <si>
    <t>TECH001</t>
  </si>
  <si>
    <t>Technician Alpha</t>
  </si>
  <si>
    <t>Technician</t>
  </si>
  <si>
    <t>Read/Execute checklists/Mark tasks complete/View inventory</t>
  </si>
  <si>
    <t>tech001@radar-maint.mil</t>
  </si>
  <si>
    <t>Cleared for all subsystem maintenance tasks</t>
  </si>
  <si>
    <t>TECH002</t>
  </si>
  <si>
    <t>Technician Bravo</t>
  </si>
  <si>
    <t>tech002@radar-maint.mil</t>
  </si>
  <si>
    <t>Cleared for LCU, Rectifier, QJB only</t>
  </si>
  <si>
    <t>TECH003</t>
  </si>
  <si>
    <t>Technician Charlie</t>
  </si>
  <si>
    <t>tech003@radar-maint.mil</t>
  </si>
  <si>
    <t>Inactive</t>
  </si>
  <si>
    <t>2026-06-30</t>
  </si>
  <si>
    <t>On leave – access suspended</t>
  </si>
  <si>
    <t>LOG001</t>
  </si>
  <si>
    <t>Logistics Officer</t>
  </si>
  <si>
    <t>Logistics</t>
  </si>
  <si>
    <t>Read inventory/Update stock levels/Generate low-stock reports</t>
  </si>
  <si>
    <t>log001@radar-maint.mil</t>
  </si>
  <si>
    <t>2026-06-02</t>
  </si>
  <si>
    <t>INV monitor access only; SYS-INV-001 to SYS-INV-004</t>
  </si>
  <si>
    <t>SUP001</t>
  </si>
  <si>
    <t>Commander / Supervisor</t>
  </si>
  <si>
    <t>Supervisor</t>
  </si>
  <si>
    <t>Read all/View status gauge/Export PDF/Approve reschedule</t>
  </si>
  <si>
    <t>sup001@radar-maint.mil</t>
  </si>
  <si>
    <t>2026-05-30</t>
  </si>
  <si>
    <t>Read-only oversight with approval authority</t>
  </si>
  <si>
    <t>PM RECORDS LOG — COMPLETED MAINTENANCE</t>
  </si>
  <si>
    <t>Drives: Audit Trail · Readiness Status Gauge (SYS-MET-003/004) · Reporting (SYS-RPT-001/002)  |  Interface: INF-02</t>
  </si>
  <si>
    <t>Record_ID</t>
  </si>
  <si>
    <t>PM_Date</t>
  </si>
  <si>
    <t>Technician_ID</t>
  </si>
  <si>
    <t>Tasks_Total</t>
  </si>
  <si>
    <t>Tasks_Done</t>
  </si>
  <si>
    <t>Completion_%</t>
  </si>
  <si>
    <t>Overall_Status</t>
  </si>
  <si>
    <t>Supervisor_ID</t>
  </si>
  <si>
    <t>Rescheduled</t>
  </si>
  <si>
    <t>Remarks</t>
  </si>
  <si>
    <t>Audit_Timestamp</t>
  </si>
  <si>
    <t>RPM-20260516-001</t>
  </si>
  <si>
    <t>2026-05-16</t>
  </si>
  <si>
    <t>100%</t>
  </si>
  <si>
    <t>COMPLETE</t>
  </si>
  <si>
    <t>N</t>
  </si>
  <si>
    <t>All tasks completed. Bus voltage 24.01V. No faults.</t>
  </si>
  <si>
    <t>2026-05-16T09:15:00Z</t>
  </si>
  <si>
    <t>SYS-MET-004</t>
  </si>
  <si>
    <t>RPM-20260516-002</t>
  </si>
  <si>
    <t>All modes active. Power level nominal.</t>
  </si>
  <si>
    <t>2026-05-16T09:50:00Z</t>
  </si>
  <si>
    <t>RPM-20260516-003</t>
  </si>
  <si>
    <t>80%</t>
  </si>
  <si>
    <t>PARTIAL</t>
  </si>
  <si>
    <t>Task 4 (bearing lube) deferred – grease gun unavailable.</t>
  </si>
  <si>
    <t>2026-05-16T11:30:00Z</t>
  </si>
  <si>
    <t>SYS-RPT-003</t>
  </si>
  <si>
    <t>RPM-20260501-004</t>
  </si>
  <si>
    <t>NF measurement: 3.2 dB. Within spec.</t>
  </si>
  <si>
    <t>2026-05-01T10:00:00Z</t>
  </si>
  <si>
    <t>RPM-20260501-005</t>
  </si>
  <si>
    <t>DC output 24.03V. Bearing grease 45g applied.</t>
  </si>
  <si>
    <t>2026-05-01T11:45:00Z</t>
  </si>
  <si>
    <t>RESCHEDULE PM LOG</t>
  </si>
  <si>
    <t>Drives: Reschedule PM Function · Remark Flag  |  SyRS: SYS-SCH-004, SYS-RPT-003</t>
  </si>
  <si>
    <t>Log_ID</t>
  </si>
  <si>
    <t>Original_Date</t>
  </si>
  <si>
    <t>New_Date</t>
  </si>
  <si>
    <t>Reason_for_Rescheduling</t>
  </si>
  <si>
    <t>Authorised_By</t>
  </si>
  <si>
    <t>Requested_By</t>
  </si>
  <si>
    <t>Timestamp</t>
  </si>
  <si>
    <t>RSC-001</t>
  </si>
  <si>
    <t>2026-05-17</t>
  </si>
  <si>
    <t>Grease gun unavailable – requisitioned from stores. PM deferred 24 hrs.</t>
  </si>
  <si>
    <t>Completed</t>
  </si>
  <si>
    <t>Completed on 17 May with no issues</t>
  </si>
  <si>
    <t>RSC-002</t>
  </si>
  <si>
    <t>2026-01-08</t>
  </si>
  <si>
    <t>New Year operational stand-down. Full crew not available for annual PM.</t>
  </si>
  <si>
    <t>2025-12-28T09:00:00Z</t>
  </si>
  <si>
    <t>Annual PM completed 08 Jan 2026</t>
  </si>
  <si>
    <t>RSC-003</t>
  </si>
  <si>
    <t>2026-04-05</t>
  </si>
  <si>
    <t>Permit to Work (PTW) system delay – PTW not granted on scheduled date.</t>
  </si>
  <si>
    <t>2026-04-01T08:15:00Z</t>
  </si>
  <si>
    <t>PTW issued 04 Apr; PM completed 05 Apr</t>
  </si>
  <si>
    <t>DASHBOARD SUMMARY METRICS CONFIGURATION</t>
  </si>
  <si>
    <t>Drives: Top Summary Widgets (Planned Checks Today, Est. Maint. Time, Subsystems Eligible, Status Gauge)  |  SyRS: SYS-MET-001 to SYS-MET-004</t>
  </si>
  <si>
    <t>Metric_ID</t>
  </si>
  <si>
    <t>Dashboard_Widget_Label</t>
  </si>
  <si>
    <t>Current_Value</t>
  </si>
  <si>
    <t>Unit</t>
  </si>
  <si>
    <t>Source_Sheet</t>
  </si>
  <si>
    <t>Formula_Logic</t>
  </si>
  <si>
    <t>MET-001</t>
  </si>
  <si>
    <t>PLANNED CHECKS TODAY</t>
  </si>
  <si>
    <t>Tasks</t>
  </si>
  <si>
    <t>COUNT tasks where Subsystem_ID is in today's eligible list</t>
  </si>
  <si>
    <t>SYS-MET-001</t>
  </si>
  <si>
    <t>Updates on date selection; driven by eligibility rules</t>
  </si>
  <si>
    <t>MET-002</t>
  </si>
  <si>
    <t>ESTIMATED MAINT. TIME</t>
  </si>
  <si>
    <t>Hours</t>
  </si>
  <si>
    <t>SUM(Est_Duration_hrs) for all eligible subsystems on selected date</t>
  </si>
  <si>
    <t>SYS-MET-002</t>
  </si>
  <si>
    <t>Total from SUBSYSTEM_MASTER.Est_Duration_hrs; filtered by date</t>
  </si>
  <si>
    <t>MET-003</t>
  </si>
  <si>
    <t>SUBSYSTEMS ELIGIBLE</t>
  </si>
  <si>
    <t>Subsystems</t>
  </si>
  <si>
    <t>COUNT(Subsystem_ID) where eligibility rule fires for selected date</t>
  </si>
  <si>
    <t>Dynamically computed each time date changes</t>
  </si>
  <si>
    <t>MET-004</t>
  </si>
  <si>
    <t>SYSTEM READINESS STATUS</t>
  </si>
  <si>
    <t>%</t>
  </si>
  <si>
    <t>COUNTIF(Completion_Status=COMPLETE)/TOTAL_TASKS_TODAY * 100</t>
  </si>
  <si>
    <t>SYS-MET-003</t>
  </si>
  <si>
    <t>Gauge updates as tasks marked complete; SYS-MET-004</t>
  </si>
  <si>
    <t>MET-005</t>
  </si>
  <si>
    <t>LOW STOCK ALERTS</t>
  </si>
  <si>
    <t>Items</t>
  </si>
  <si>
    <t>COUNTIF(CONSUMABLES.Status, "Low Stock")</t>
  </si>
  <si>
    <t>SYS-INV-004</t>
  </si>
  <si>
    <t>Shown as red badge count in inventory header</t>
  </si>
  <si>
    <t>MET-006</t>
  </si>
  <si>
    <t>LIFE SPAN ALERTS</t>
  </si>
  <si>
    <t>COUNTIF(FIXED_LIFE_SPARES.Status, "Low Stock")</t>
  </si>
  <si>
    <t>Items expired or within 2-month warning window</t>
  </si>
  <si>
    <t>MET-007</t>
  </si>
  <si>
    <t>TOTAL ACTIVE SUBSYSTEMS</t>
  </si>
  <si>
    <t>COUNTIF(SUBSYSTEM_MASTER.Active_Flag, "Y")</t>
  </si>
  <si>
    <t>Total monitored subsystems in system</t>
  </si>
  <si>
    <t>MET-008</t>
  </si>
  <si>
    <t>PM COMPLETION RATE (MTD)</t>
  </si>
  <si>
    <t>COUNTIF(PM_RECORDS.Overall_Status,COMPLETE)/COUNT(PM_RECORDS)*100</t>
  </si>
  <si>
    <t>Month-to-date PM completion rate for reporting</t>
  </si>
  <si>
    <t>OWS 1</t>
  </si>
  <si>
    <t xml:space="preserve">Operator Workstation </t>
  </si>
  <si>
    <t xml:space="preserve">Display Console </t>
  </si>
  <si>
    <t xml:space="preserve">tested 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</si>
</sst>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Calibri"/>
      <family val="2"/>
      <charset val="1"/>
    </font>
    <font>
      <b/>
      <sz val="20"/>
      <color rgb="FF00C8FF"/>
      <name val="Arial"/>
      <charset val="1"/>
    </font>
    <font>
      <b/>
      <sz val="12"/>
      <color rgb="FF7BBFEA"/>
      <name val="Arial"/>
      <charset val="1"/>
    </font>
    <font>
      <sz val="10"/>
      <color rgb="FF4A7A9A"/>
      <name val="Arial"/>
      <charset val="1"/>
    </font>
    <font>
      <b/>
      <sz val="11"/>
      <color rgb="FFFFFFFF"/>
      <name val="Arial"/>
      <charset val="1"/>
    </font>
    <font>
      <b/>
      <sz val="10"/>
      <color rgb="FF00C8FF"/>
      <name val="Arial"/>
      <charset val="1"/>
    </font>
    <font>
      <sz val="10"/>
      <color rgb="FFC8D8E8"/>
      <name val="Arial"/>
      <charset val="1"/>
    </font>
    <font>
      <sz val="10"/>
      <color rgb="FF3A3A3A"/>
      <name val="Arial"/>
      <charset val="1"/>
    </font>
    <font>
      <b/>
      <sz val="10"/>
      <color rgb="FF1F5BB8"/>
      <name val="Arial"/>
      <charset val="1"/>
    </font>
    <font>
      <b/>
      <sz val="10"/>
      <color rgb="FFFFFFFF"/>
      <name val="Arial"/>
      <charset val="1"/>
    </font>
    <font>
      <b/>
      <sz val="10"/>
      <color rgb="FF3A3A3A"/>
      <name val="Arial"/>
      <charset val="1"/>
    </font>
    <font>
      <b/>
      <sz val="14"/>
      <color rgb="FF00C8FF"/>
      <name val="Arial"/>
      <charset val="1"/>
    </font>
    <font>
      <sz val="10"/>
      <color rgb="FF7BBFEA"/>
      <name val="Arial"/>
      <charset val="1"/>
    </font>
    <font>
      <sz val="10"/>
      <color rgb="FF6B7280"/>
      <name val="Arial"/>
      <charset val="1"/>
    </font>
    <font>
      <b/>
      <sz val="10"/>
      <color rgb="FF1D4ED8"/>
      <name val="Arial"/>
      <charset val="1"/>
    </font>
    <font>
      <sz val="10"/>
      <color rgb="FF1D4ED8"/>
      <name val="Arial"/>
      <charset val="1"/>
    </font>
    <font>
      <b/>
      <sz val="10"/>
      <color rgb="FF1E6B3A"/>
      <name val="Arial"/>
      <charset val="1"/>
    </font>
    <font>
      <b/>
      <sz val="10"/>
      <color rgb="FFB91C1C"/>
      <name val="Arial"/>
      <charset val="1"/>
    </font>
    <font>
      <sz val="10"/>
      <color rgb="FFB91C1C"/>
      <name val="Arial"/>
      <charset val="1"/>
    </font>
    <font>
      <b/>
      <sz val="10"/>
      <color rgb="FF92400E"/>
      <name val="Arial"/>
      <charset val="1"/>
    </font>
    <font>
      <sz val="10"/>
      <color rgb="FF92400E"/>
      <name val="Arial"/>
      <charset val="1"/>
    </font>
    <font>
      <b/>
      <sz val="10"/>
      <color rgb="FF15803D"/>
      <name val="Arial"/>
      <charset val="1"/>
    </font>
    <font>
      <sz val="10"/>
      <color rgb="FF15803D"/>
      <name val="Arial"/>
      <charset val="1"/>
    </font>
    <font>
      <b/>
      <sz val="12"/>
      <color rgb="FFFFFFFF"/>
      <name val="Arial"/>
      <charset val="1"/>
    </font>
    <font>
      <sz val="9"/>
      <color rgb="FFC0D8E8"/>
      <name val="Arial"/>
      <charset val="1"/>
    </font>
    <font>
      <b/>
      <sz val="10"/>
      <color rgb="FF6B7280"/>
      <name val="Arial"/>
      <charset val="1"/>
    </font>
    <font>
      <b/>
      <sz val="10"/>
      <color rgb="FF0D2A5E"/>
      <name val="Arial"/>
      <charset val="1"/>
    </font>
    <font>
      <sz val="10"/>
      <color rgb="FF7D4E00"/>
      <name val="Arial"/>
      <charset val="1"/>
    </font>
    <font>
      <b/>
      <sz val="10"/>
      <color rgb="FF7F1D1D"/>
      <name val="Arial"/>
      <charset val="1"/>
    </font>
    <font>
      <i/>
      <sz val="10"/>
      <color rgb="FF7F1D1D"/>
      <name val="Arial"/>
      <charset val="1"/>
    </font>
    <font>
      <b/>
      <sz val="10"/>
      <color rgb="FF7D4E00"/>
      <name val="Arial"/>
      <charset val="1"/>
    </font>
    <font>
      <b/>
      <sz val="10"/>
      <color rgb="FF4B0082"/>
      <name val="Arial"/>
      <charset val="1"/>
    </font>
    <font>
      <sz val="10"/>
      <color rgb="FF1E6B3A"/>
      <name val="Arial"/>
      <charset val="1"/>
    </font>
    <font>
      <sz val="10"/>
      <color rgb="FF006B8F"/>
      <name val="Arial"/>
      <charset val="1"/>
    </font>
  </fonts>
  <fills count="26">
    <fill>
      <patternFill patternType="none"/>
    </fill>
    <fill>
      <patternFill patternType="gray125"/>
    </fill>
    <fill>
      <patternFill patternType="solid">
        <fgColor rgb="FF081830"/>
        <bgColor rgb="FF0D2040"/>
      </patternFill>
    </fill>
    <fill>
      <patternFill patternType="solid">
        <fgColor rgb="FF1F5BB8"/>
        <bgColor rgb="FF1D4ED8"/>
      </patternFill>
    </fill>
    <fill>
      <patternFill patternType="solid">
        <fgColor rgb="FF006B8F"/>
        <bgColor rgb="FF1F5BB8"/>
      </patternFill>
    </fill>
    <fill>
      <patternFill patternType="solid">
        <fgColor rgb="FF0D2040"/>
        <bgColor rgb="FF081830"/>
      </patternFill>
    </fill>
    <fill>
      <patternFill patternType="solid">
        <fgColor rgb="FF0D2A5E"/>
        <bgColor rgb="FF0D2040"/>
      </patternFill>
    </fill>
    <fill>
      <patternFill patternType="solid">
        <fgColor rgb="FFF4F6FA"/>
        <bgColor rgb="FFFFFFFF"/>
      </patternFill>
    </fill>
    <fill>
      <patternFill patternType="solid">
        <fgColor rgb="FFFFFFFF"/>
        <bgColor rgb="FFF4F6FA"/>
      </patternFill>
    </fill>
    <fill>
      <patternFill patternType="solid">
        <fgColor rgb="FF1D4ED8"/>
        <bgColor rgb="FF1F5BB8"/>
      </patternFill>
    </fill>
    <fill>
      <patternFill patternType="solid">
        <fgColor rgb="FFB91C1C"/>
        <bgColor rgb="FF7F1D1D"/>
      </patternFill>
    </fill>
    <fill>
      <patternFill patternType="solid">
        <fgColor rgb="FF15803D"/>
        <bgColor rgb="FF0D6B3A"/>
      </patternFill>
    </fill>
    <fill>
      <patternFill patternType="solid">
        <fgColor rgb="FF92400E"/>
        <bgColor rgb="FF7D4E00"/>
      </patternFill>
    </fill>
    <fill>
      <patternFill patternType="solid">
        <fgColor rgb="FF1E6B3A"/>
        <bgColor rgb="FF0D6B3A"/>
      </patternFill>
    </fill>
    <fill>
      <patternFill patternType="solid">
        <fgColor rgb="FF7F1D1D"/>
        <bgColor rgb="FF800000"/>
      </patternFill>
    </fill>
    <fill>
      <patternFill patternType="solid">
        <fgColor rgb="FF7D4E00"/>
        <bgColor rgb="FF92400E"/>
      </patternFill>
    </fill>
    <fill>
      <patternFill patternType="solid">
        <fgColor rgb="FFE8EDF4"/>
        <bgColor rgb="FFEDE9FE"/>
      </patternFill>
    </fill>
    <fill>
      <patternFill patternType="solid">
        <fgColor rgb="FFDBEAFE"/>
        <bgColor rgb="FFD6E4F7"/>
      </patternFill>
    </fill>
    <fill>
      <patternFill patternType="solid">
        <fgColor rgb="FFD6E4F7"/>
        <bgColor rgb="FFDBEAFE"/>
      </patternFill>
    </fill>
    <fill>
      <patternFill patternType="solid">
        <fgColor rgb="FFD4EDDA"/>
        <bgColor rgb="FFD6E4F7"/>
      </patternFill>
    </fill>
    <fill>
      <patternFill patternType="solid">
        <fgColor rgb="FFFEE2E2"/>
        <bgColor rgb="FFFDE8E8"/>
      </patternFill>
    </fill>
    <fill>
      <patternFill patternType="solid">
        <fgColor rgb="FFFEF3C7"/>
        <bgColor rgb="FFFFF3CD"/>
      </patternFill>
    </fill>
    <fill>
      <patternFill patternType="solid">
        <fgColor rgb="FFDCFCE7"/>
        <bgColor rgb="FFD4EDDA"/>
      </patternFill>
    </fill>
    <fill>
      <patternFill patternType="solid">
        <fgColor rgb="FFFFF3CD"/>
        <bgColor rgb="FFFEF3C7"/>
      </patternFill>
    </fill>
    <fill>
      <patternFill patternType="solid">
        <fgColor rgb="FFFDE8E8"/>
        <bgColor rgb="FFFEE2E2"/>
      </patternFill>
    </fill>
    <fill>
      <patternFill patternType="solid">
        <fgColor rgb="FFEDE9FE"/>
        <bgColor rgb="FFE8EDF4"/>
      </patternFill>
    </fill>
  </fills>
  <borders count="4">
    <border>
      <left/>
      <right/>
      <top/>
      <bottom/>
      <diagonal/>
    </border>
    <border>
      <left style="medium">
        <color rgb="FF1F5BB8"/>
      </left>
      <right style="medium">
        <color rgb="FF1F5BB8"/>
      </right>
      <top style="medium">
        <color rgb="FF1F5BB8"/>
      </top>
      <bottom style="medium">
        <color rgb="FF1F5BB8"/>
      </bottom>
      <diagonal/>
    </border>
    <border>
      <left style="thin">
        <color rgb="FFAABBCC"/>
      </left>
      <right style="thin">
        <color rgb="FFAABBCC"/>
      </right>
      <top style="thin">
        <color rgb="FFAABBCC"/>
      </top>
      <bottom style="thin">
        <color rgb="FFAABBCC"/>
      </bottom>
      <diagonal/>
    </border>
    <border>
      <left style="thin">
        <color rgb="FFAABBCC"/>
      </left>
      <right/>
      <top style="thin">
        <color rgb="FFAABBCC"/>
      </top>
      <bottom style="thin">
        <color rgb="FFAABBCC"/>
      </bottom>
      <diagonal/>
    </border>
  </borders>
  <cellStyleXfs count="1">
    <xf numFmtId="0" fontId="0" fillId="0" borderId="0"/>
  </cellStyleXfs>
  <cellXfs count="113">
    <xf numFmtId="0" fontId="0" fillId="0" borderId="0" xfId="0"/>
    <xf numFmtId="0" fontId="0" fillId="2" borderId="0" xfId="0" applyFill="1"/>
    <xf numFmtId="0" fontId="0" fillId="3" borderId="2" xfId="0" applyFill="1" applyBorder="1"/>
    <xf numFmtId="0" fontId="5" fillId="5" borderId="2" xfId="0" applyFont="1" applyFill="1" applyBorder="1" applyAlignment="1">
      <alignment horizontal="left" vertical="center"/>
    </xf>
    <xf numFmtId="0" fontId="7" fillId="7" borderId="2" xfId="0" applyFont="1" applyFill="1" applyBorder="1" applyAlignment="1">
      <alignment horizontal="left" vertical="center"/>
    </xf>
    <xf numFmtId="0" fontId="8" fillId="8" borderId="2" xfId="0" applyFont="1" applyFill="1" applyBorder="1" applyAlignment="1">
      <alignment horizontal="left" vertical="center"/>
    </xf>
    <xf numFmtId="0" fontId="0" fillId="9" borderId="2" xfId="0" applyFill="1" applyBorder="1"/>
    <xf numFmtId="0" fontId="9" fillId="9" borderId="2" xfId="0" applyFont="1" applyFill="1" applyBorder="1" applyAlignment="1">
      <alignment horizontal="left" vertical="center"/>
    </xf>
    <xf numFmtId="0" fontId="0" fillId="10" borderId="2" xfId="0" applyFill="1" applyBorder="1"/>
    <xf numFmtId="0" fontId="9" fillId="10" borderId="2" xfId="0" applyFont="1" applyFill="1" applyBorder="1" applyAlignment="1">
      <alignment horizontal="left" vertical="center"/>
    </xf>
    <xf numFmtId="0" fontId="0" fillId="11" borderId="2" xfId="0" applyFill="1" applyBorder="1"/>
    <xf numFmtId="0" fontId="9" fillId="11" borderId="2" xfId="0" applyFont="1" applyFill="1" applyBorder="1" applyAlignment="1">
      <alignment horizontal="left" vertical="center"/>
    </xf>
    <xf numFmtId="0" fontId="0" fillId="12" borderId="2" xfId="0" applyFill="1" applyBorder="1"/>
    <xf numFmtId="0" fontId="9" fillId="12" borderId="2" xfId="0" applyFont="1" applyFill="1" applyBorder="1" applyAlignment="1">
      <alignment horizontal="left" vertical="center"/>
    </xf>
    <xf numFmtId="0" fontId="0" fillId="13" borderId="2" xfId="0" applyFill="1" applyBorder="1"/>
    <xf numFmtId="0" fontId="9" fillId="13" borderId="2" xfId="0" applyFont="1" applyFill="1" applyBorder="1" applyAlignment="1">
      <alignment horizontal="left" vertical="center"/>
    </xf>
    <xf numFmtId="0" fontId="0" fillId="14" borderId="2" xfId="0" applyFill="1" applyBorder="1"/>
    <xf numFmtId="0" fontId="9" fillId="14" borderId="2" xfId="0" applyFont="1" applyFill="1" applyBorder="1" applyAlignment="1">
      <alignment horizontal="left" vertical="center"/>
    </xf>
    <xf numFmtId="0" fontId="0" fillId="15" borderId="2" xfId="0" applyFill="1" applyBorder="1"/>
    <xf numFmtId="0" fontId="9" fillId="15" borderId="2" xfId="0" applyFont="1" applyFill="1" applyBorder="1" applyAlignment="1">
      <alignment horizontal="left" vertical="center"/>
    </xf>
    <xf numFmtId="0" fontId="0" fillId="16" borderId="2" xfId="0" applyFill="1" applyBorder="1"/>
    <xf numFmtId="0" fontId="10" fillId="16" borderId="2" xfId="0" applyFont="1" applyFill="1" applyBorder="1" applyAlignment="1">
      <alignment horizontal="left" vertical="center"/>
    </xf>
    <xf numFmtId="0" fontId="0" fillId="17" borderId="2" xfId="0" applyFill="1" applyBorder="1"/>
    <xf numFmtId="0" fontId="10" fillId="17" borderId="2" xfId="0" applyFont="1" applyFill="1" applyBorder="1" applyAlignment="1">
      <alignment horizontal="left" vertical="center"/>
    </xf>
    <xf numFmtId="0" fontId="9" fillId="6" borderId="1" xfId="0" applyFont="1" applyFill="1" applyBorder="1" applyAlignment="1">
      <alignment horizontal="center" vertical="center" wrapText="1"/>
    </xf>
    <xf numFmtId="0" fontId="13" fillId="16" borderId="2" xfId="0" applyFont="1" applyFill="1" applyBorder="1" applyAlignment="1">
      <alignment horizontal="center" vertical="center"/>
    </xf>
    <xf numFmtId="0" fontId="8" fillId="18" borderId="2" xfId="0" applyFont="1" applyFill="1" applyBorder="1" applyAlignment="1">
      <alignment horizontal="left" vertical="center"/>
    </xf>
    <xf numFmtId="0" fontId="10" fillId="7" borderId="2" xfId="0" applyFont="1" applyFill="1" applyBorder="1" applyAlignment="1">
      <alignment horizontal="left" vertical="center"/>
    </xf>
    <xf numFmtId="0" fontId="14" fillId="17" borderId="2" xfId="0" applyFont="1" applyFill="1" applyBorder="1" applyAlignment="1">
      <alignment horizontal="left" vertical="center"/>
    </xf>
    <xf numFmtId="0" fontId="15" fillId="17" borderId="2" xfId="0" applyFont="1" applyFill="1" applyBorder="1" applyAlignment="1">
      <alignment horizontal="left" vertical="center"/>
    </xf>
    <xf numFmtId="0" fontId="13" fillId="16" borderId="2" xfId="0" applyFont="1" applyFill="1" applyBorder="1" applyAlignment="1">
      <alignment horizontal="left" vertical="center"/>
    </xf>
    <xf numFmtId="0" fontId="7" fillId="16" borderId="2" xfId="0" applyFont="1" applyFill="1" applyBorder="1" applyAlignment="1">
      <alignment horizontal="left" vertical="center"/>
    </xf>
    <xf numFmtId="0" fontId="16" fillId="19" borderId="2" xfId="0" applyFont="1" applyFill="1" applyBorder="1" applyAlignment="1">
      <alignment horizontal="left" vertical="center"/>
    </xf>
    <xf numFmtId="0" fontId="10" fillId="8" borderId="2" xfId="0" applyFont="1" applyFill="1" applyBorder="1" applyAlignment="1">
      <alignment horizontal="left" vertical="center"/>
    </xf>
    <xf numFmtId="0" fontId="17" fillId="20" borderId="2" xfId="0" applyFont="1" applyFill="1" applyBorder="1" applyAlignment="1">
      <alignment horizontal="left" vertical="center"/>
    </xf>
    <xf numFmtId="0" fontId="18" fillId="20" borderId="2" xfId="0" applyFont="1" applyFill="1" applyBorder="1" applyAlignment="1">
      <alignment horizontal="left" vertical="center"/>
    </xf>
    <xf numFmtId="0" fontId="7" fillId="8" borderId="2" xfId="0" applyFont="1" applyFill="1" applyBorder="1" applyAlignment="1">
      <alignment horizontal="left" vertical="center"/>
    </xf>
    <xf numFmtId="0" fontId="19" fillId="21" borderId="2" xfId="0" applyFont="1" applyFill="1" applyBorder="1" applyAlignment="1">
      <alignment horizontal="left" vertical="center"/>
    </xf>
    <xf numFmtId="0" fontId="20" fillId="21" borderId="2" xfId="0" applyFont="1" applyFill="1" applyBorder="1" applyAlignment="1">
      <alignment horizontal="left" vertical="center"/>
    </xf>
    <xf numFmtId="0" fontId="21" fillId="22" borderId="2" xfId="0" applyFont="1" applyFill="1" applyBorder="1" applyAlignment="1">
      <alignment horizontal="left" vertical="center"/>
    </xf>
    <xf numFmtId="0" fontId="22" fillId="22" borderId="2" xfId="0" applyFont="1" applyFill="1" applyBorder="1" applyAlignment="1">
      <alignment horizontal="left" vertical="center"/>
    </xf>
    <xf numFmtId="0" fontId="23" fillId="4" borderId="1" xfId="0" applyFont="1" applyFill="1" applyBorder="1" applyAlignment="1">
      <alignment horizontal="center" vertical="center"/>
    </xf>
    <xf numFmtId="0" fontId="14" fillId="17" borderId="2" xfId="0" applyFont="1" applyFill="1" applyBorder="1" applyAlignment="1">
      <alignment horizontal="center" vertical="center"/>
    </xf>
    <xf numFmtId="0" fontId="25" fillId="16" borderId="2" xfId="0" applyFont="1" applyFill="1" applyBorder="1" applyAlignment="1">
      <alignment horizontal="center" vertical="center"/>
    </xf>
    <xf numFmtId="0" fontId="10" fillId="8" borderId="2" xfId="0" applyFont="1" applyFill="1" applyBorder="1" applyAlignment="1">
      <alignment horizontal="left" vertical="center" wrapText="1"/>
    </xf>
    <xf numFmtId="0" fontId="26" fillId="8" borderId="2" xfId="0" applyFont="1" applyFill="1" applyBorder="1" applyAlignment="1">
      <alignment horizontal="left" vertical="center" wrapText="1"/>
    </xf>
    <xf numFmtId="0" fontId="7" fillId="8" borderId="2" xfId="0" applyFont="1" applyFill="1" applyBorder="1" applyAlignment="1">
      <alignment horizontal="left" vertical="top" wrapText="1"/>
    </xf>
    <xf numFmtId="0" fontId="7" fillId="16" borderId="2" xfId="0" applyFont="1" applyFill="1" applyBorder="1" applyAlignment="1">
      <alignment horizontal="center" vertical="center"/>
    </xf>
    <xf numFmtId="0" fontId="7" fillId="8" borderId="2" xfId="0" applyFont="1" applyFill="1" applyBorder="1" applyAlignment="1">
      <alignment horizontal="left" vertical="center" wrapText="1"/>
    </xf>
    <xf numFmtId="0" fontId="16" fillId="19" borderId="2" xfId="0" applyFont="1" applyFill="1" applyBorder="1" applyAlignment="1">
      <alignment horizontal="center" vertical="center"/>
    </xf>
    <xf numFmtId="0" fontId="27" fillId="23" borderId="2" xfId="0" applyFont="1" applyFill="1" applyBorder="1" applyAlignment="1">
      <alignment horizontal="center" vertical="center"/>
    </xf>
    <xf numFmtId="0" fontId="10" fillId="17" borderId="2" xfId="0" applyFont="1" applyFill="1" applyBorder="1" applyAlignment="1">
      <alignment horizontal="left" vertical="center" wrapText="1"/>
    </xf>
    <xf numFmtId="0" fontId="26" fillId="17" borderId="2" xfId="0" applyFont="1" applyFill="1" applyBorder="1" applyAlignment="1">
      <alignment horizontal="left" vertical="center" wrapText="1"/>
    </xf>
    <xf numFmtId="0" fontId="7" fillId="17" borderId="2" xfId="0" applyFont="1" applyFill="1" applyBorder="1" applyAlignment="1">
      <alignment horizontal="left" vertical="top" wrapText="1"/>
    </xf>
    <xf numFmtId="0" fontId="7" fillId="17" borderId="2" xfId="0" applyFont="1" applyFill="1" applyBorder="1" applyAlignment="1">
      <alignment horizontal="left" vertical="center" wrapText="1"/>
    </xf>
    <xf numFmtId="0" fontId="17" fillId="20" borderId="2" xfId="0" applyFont="1" applyFill="1" applyBorder="1" applyAlignment="1">
      <alignment horizontal="center" vertical="center"/>
    </xf>
    <xf numFmtId="0" fontId="10" fillId="20" borderId="2" xfId="0" applyFont="1" applyFill="1" applyBorder="1" applyAlignment="1">
      <alignment horizontal="left" vertical="center" wrapText="1"/>
    </xf>
    <xf numFmtId="0" fontId="26" fillId="20" borderId="2" xfId="0" applyFont="1" applyFill="1" applyBorder="1" applyAlignment="1">
      <alignment horizontal="left" vertical="center" wrapText="1"/>
    </xf>
    <xf numFmtId="0" fontId="7" fillId="20" borderId="2" xfId="0" applyFont="1" applyFill="1" applyBorder="1" applyAlignment="1">
      <alignment horizontal="left" vertical="top" wrapText="1"/>
    </xf>
    <xf numFmtId="0" fontId="7" fillId="20" borderId="2" xfId="0" applyFont="1" applyFill="1" applyBorder="1" applyAlignment="1">
      <alignment horizontal="left" vertical="center" wrapText="1"/>
    </xf>
    <xf numFmtId="0" fontId="19" fillId="21" borderId="2" xfId="0" applyFont="1" applyFill="1" applyBorder="1" applyAlignment="1">
      <alignment horizontal="center" vertical="center"/>
    </xf>
    <xf numFmtId="0" fontId="10" fillId="21" borderId="2" xfId="0" applyFont="1" applyFill="1" applyBorder="1" applyAlignment="1">
      <alignment horizontal="left" vertical="center" wrapText="1"/>
    </xf>
    <xf numFmtId="0" fontId="26" fillId="21" borderId="2" xfId="0" applyFont="1" applyFill="1" applyBorder="1" applyAlignment="1">
      <alignment horizontal="left" vertical="center" wrapText="1"/>
    </xf>
    <xf numFmtId="0" fontId="7" fillId="21" borderId="2" xfId="0" applyFont="1" applyFill="1" applyBorder="1" applyAlignment="1">
      <alignment horizontal="left" vertical="top" wrapText="1"/>
    </xf>
    <xf numFmtId="0" fontId="7" fillId="21" borderId="2" xfId="0" applyFont="1" applyFill="1" applyBorder="1" applyAlignment="1">
      <alignment horizontal="left" vertical="center" wrapText="1"/>
    </xf>
    <xf numFmtId="0" fontId="21" fillId="22" borderId="2" xfId="0" applyFont="1" applyFill="1" applyBorder="1" applyAlignment="1">
      <alignment horizontal="center" vertical="center"/>
    </xf>
    <xf numFmtId="0" fontId="10" fillId="22" borderId="2" xfId="0" applyFont="1" applyFill="1" applyBorder="1" applyAlignment="1">
      <alignment horizontal="left" vertical="center" wrapText="1"/>
    </xf>
    <xf numFmtId="0" fontId="26" fillId="22" borderId="2" xfId="0" applyFont="1" applyFill="1" applyBorder="1" applyAlignment="1">
      <alignment horizontal="left" vertical="center" wrapText="1"/>
    </xf>
    <xf numFmtId="0" fontId="7" fillId="22" borderId="2" xfId="0" applyFont="1" applyFill="1" applyBorder="1" applyAlignment="1">
      <alignment horizontal="left" vertical="top" wrapText="1"/>
    </xf>
    <xf numFmtId="0" fontId="7" fillId="22" borderId="2" xfId="0" applyFont="1" applyFill="1" applyBorder="1" applyAlignment="1">
      <alignment horizontal="left" vertical="center" wrapText="1"/>
    </xf>
    <xf numFmtId="0" fontId="25" fillId="16" borderId="2" xfId="0" applyFont="1" applyFill="1" applyBorder="1" applyAlignment="1">
      <alignment horizontal="left" vertical="center"/>
    </xf>
    <xf numFmtId="0" fontId="26" fillId="7" borderId="2" xfId="0" applyFont="1" applyFill="1" applyBorder="1" applyAlignment="1">
      <alignment horizontal="left" vertical="center"/>
    </xf>
    <xf numFmtId="0" fontId="26" fillId="8" borderId="2" xfId="0" applyFont="1" applyFill="1" applyBorder="1" applyAlignment="1">
      <alignment horizontal="left" vertical="center"/>
    </xf>
    <xf numFmtId="0" fontId="26" fillId="24" borderId="2" xfId="0" applyFont="1" applyFill="1" applyBorder="1" applyAlignment="1">
      <alignment horizontal="left" vertical="center"/>
    </xf>
    <xf numFmtId="0" fontId="28" fillId="24" borderId="2" xfId="0" applyFont="1" applyFill="1" applyBorder="1" applyAlignment="1">
      <alignment horizontal="left" vertical="center"/>
    </xf>
    <xf numFmtId="0" fontId="7" fillId="24" borderId="2" xfId="0" applyFont="1" applyFill="1" applyBorder="1" applyAlignment="1">
      <alignment horizontal="left" vertical="center"/>
    </xf>
    <xf numFmtId="0" fontId="4" fillId="14" borderId="1" xfId="0" applyFont="1" applyFill="1" applyBorder="1" applyAlignment="1">
      <alignment horizontal="center" vertical="center"/>
    </xf>
    <xf numFmtId="0" fontId="29" fillId="8" borderId="2" xfId="0" applyFont="1" applyFill="1" applyBorder="1"/>
    <xf numFmtId="0" fontId="26" fillId="23" borderId="2" xfId="0" applyFont="1" applyFill="1" applyBorder="1" applyAlignment="1">
      <alignment horizontal="left" vertical="center"/>
    </xf>
    <xf numFmtId="0" fontId="30" fillId="23" borderId="2" xfId="0" applyFont="1" applyFill="1" applyBorder="1" applyAlignment="1">
      <alignment horizontal="left" vertical="center"/>
    </xf>
    <xf numFmtId="0" fontId="23" fillId="14" borderId="1" xfId="0" applyFont="1" applyFill="1" applyBorder="1" applyAlignment="1">
      <alignment horizontal="center" vertical="center"/>
    </xf>
    <xf numFmtId="0" fontId="18" fillId="16" borderId="2" xfId="0" applyFont="1" applyFill="1" applyBorder="1" applyAlignment="1">
      <alignment horizontal="left" vertical="center"/>
    </xf>
    <xf numFmtId="0" fontId="13" fillId="7" borderId="2" xfId="0" applyFont="1" applyFill="1" applyBorder="1" applyAlignment="1">
      <alignment horizontal="left" vertical="center"/>
    </xf>
    <xf numFmtId="0" fontId="15" fillId="16" borderId="2" xfId="0" applyFont="1" applyFill="1" applyBorder="1" applyAlignment="1">
      <alignment horizontal="left" vertical="center"/>
    </xf>
    <xf numFmtId="0" fontId="8" fillId="16" borderId="2" xfId="0" applyFont="1" applyFill="1" applyBorder="1" applyAlignment="1">
      <alignment horizontal="left" vertical="center"/>
    </xf>
    <xf numFmtId="0" fontId="31" fillId="25" borderId="2" xfId="0" applyFont="1" applyFill="1" applyBorder="1" applyAlignment="1">
      <alignment horizontal="left" vertical="center"/>
    </xf>
    <xf numFmtId="0" fontId="30" fillId="21" borderId="2" xfId="0" applyFont="1" applyFill="1" applyBorder="1" applyAlignment="1">
      <alignment horizontal="left" vertical="center"/>
    </xf>
    <xf numFmtId="0" fontId="26" fillId="17" borderId="2" xfId="0" applyFont="1" applyFill="1" applyBorder="1" applyAlignment="1">
      <alignment horizontal="left" vertical="center"/>
    </xf>
    <xf numFmtId="0" fontId="32" fillId="19" borderId="2" xfId="0" applyFont="1" applyFill="1" applyBorder="1" applyAlignment="1">
      <alignment horizontal="left" vertical="center"/>
    </xf>
    <xf numFmtId="0" fontId="26" fillId="20" borderId="2" xfId="0" applyFont="1" applyFill="1" applyBorder="1" applyAlignment="1">
      <alignment horizontal="left" vertical="center"/>
    </xf>
    <xf numFmtId="0" fontId="0" fillId="7" borderId="2" xfId="0" applyFill="1" applyBorder="1"/>
    <xf numFmtId="0" fontId="0" fillId="8" borderId="2" xfId="0" applyFill="1" applyBorder="1"/>
    <xf numFmtId="0" fontId="26" fillId="18" borderId="2" xfId="0" applyFont="1" applyFill="1" applyBorder="1" applyAlignment="1">
      <alignment horizontal="left" vertical="center"/>
    </xf>
    <xf numFmtId="0" fontId="33" fillId="16" borderId="2" xfId="0" applyFont="1" applyFill="1" applyBorder="1" applyAlignment="1">
      <alignment horizontal="left" vertical="center"/>
    </xf>
    <xf numFmtId="0" fontId="13" fillId="16" borderId="0" xfId="0" applyFont="1" applyFill="1" applyAlignment="1">
      <alignment horizontal="center" vertical="center"/>
    </xf>
    <xf numFmtId="0" fontId="8" fillId="18" borderId="0" xfId="0" applyFont="1" applyFill="1" applyAlignment="1">
      <alignment horizontal="left" vertical="center"/>
    </xf>
    <xf numFmtId="0" fontId="10" fillId="7" borderId="0" xfId="0" applyFont="1" applyFill="1" applyAlignment="1">
      <alignment horizontal="left" vertical="center"/>
    </xf>
    <xf numFmtId="0" fontId="9" fillId="10" borderId="1" xfId="0" applyFont="1" applyFill="1" applyBorder="1" applyAlignment="1">
      <alignment horizontal="left" vertical="center"/>
    </xf>
    <xf numFmtId="0" fontId="9" fillId="11" borderId="1" xfId="0" applyFont="1" applyFill="1" applyBorder="1" applyAlignment="1">
      <alignment horizontal="left" vertical="center"/>
    </xf>
    <xf numFmtId="0" fontId="9" fillId="9" borderId="1" xfId="0" applyFont="1" applyFill="1" applyBorder="1" applyAlignment="1">
      <alignment horizontal="left" vertical="center"/>
    </xf>
    <xf numFmtId="0" fontId="9" fillId="12" borderId="1" xfId="0" applyFont="1" applyFill="1" applyBorder="1" applyAlignment="1">
      <alignment horizontal="left" vertical="center"/>
    </xf>
    <xf numFmtId="0" fontId="11" fillId="2" borderId="1" xfId="0" applyFont="1" applyFill="1" applyBorder="1" applyAlignment="1">
      <alignment horizontal="center" vertical="center"/>
    </xf>
    <xf numFmtId="0" fontId="12" fillId="2" borderId="1" xfId="0" applyFont="1" applyFill="1" applyBorder="1" applyAlignment="1">
      <alignment horizontal="center" vertical="center"/>
    </xf>
    <xf numFmtId="0" fontId="7" fillId="7" borderId="3" xfId="0" applyFont="1" applyFill="1" applyBorder="1" applyAlignment="1">
      <alignment horizontal="left" vertical="center"/>
    </xf>
    <xf numFmtId="0" fontId="4" fillId="6" borderId="1" xfId="0" applyFont="1" applyFill="1" applyBorder="1" applyAlignment="1">
      <alignment horizontal="center" vertical="center"/>
    </xf>
    <xf numFmtId="0" fontId="6" fillId="5" borderId="3" xfId="0" applyFont="1" applyFill="1" applyBorder="1" applyAlignment="1">
      <alignment horizontal="left" vertical="center" wrapText="1"/>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4" borderId="1" xfId="0" applyFont="1" applyFill="1" applyBorder="1" applyAlignment="1">
      <alignment horizontal="center" vertical="center"/>
    </xf>
    <xf numFmtId="0" fontId="9" fillId="4" borderId="1" xfId="0" applyFont="1" applyFill="1" applyBorder="1" applyAlignment="1">
      <alignment horizontal="center" vertical="center"/>
    </xf>
    <xf numFmtId="0" fontId="24" fillId="4" borderId="1" xfId="0" applyFont="1" applyFill="1" applyBorder="1" applyAlignment="1">
      <alignment horizontal="left" vertical="center"/>
    </xf>
    <xf numFmtId="0" fontId="9" fillId="6" borderId="1" xfId="0" applyFont="1" applyFill="1" applyBorder="1" applyAlignment="1">
      <alignment horizontal="center" vertical="center"/>
    </xf>
  </cellXfs>
  <cellStyles count="1">
    <cellStyle name="Normal" xfId="0" builtinId="0"/>
  </cellStyles>
  <dxfs count="0"/>
  <tableStyles count="0" defaultTableStyle="TableStyleMedium9" defaultPivotStyle="PivotStyleLight16"/>
  <colors>
    <indexedColors>
      <rgbColor rgb="FF000000"/>
      <rgbColor rgb="FFFFFFFF"/>
      <rgbColor rgb="FFFF0000"/>
      <rgbColor rgb="FF00FF00"/>
      <rgbColor rgb="FF0000FF"/>
      <rgbColor rgb="FFE8EDF4"/>
      <rgbColor rgb="FFFF00FF"/>
      <rgbColor rgb="FF00FFFF"/>
      <rgbColor rgb="FF7F1D1D"/>
      <rgbColor rgb="FF15803D"/>
      <rgbColor rgb="FF000080"/>
      <rgbColor rgb="FF7D4E00"/>
      <rgbColor rgb="FF800080"/>
      <rgbColor rgb="FF006B8F"/>
      <rgbColor rgb="FFAABBCC"/>
      <rgbColor rgb="FF4A7A9A"/>
      <rgbColor rgb="FFD6E4F7"/>
      <rgbColor rgb="FFB91C1C"/>
      <rgbColor rgb="FFFFF3CD"/>
      <rgbColor rgb="FFDCFCE7"/>
      <rgbColor rgb="FF4B0082"/>
      <rgbColor rgb="FFFF8080"/>
      <rgbColor rgb="FF1F5BB8"/>
      <rgbColor rgb="FFC8D8E8"/>
      <rgbColor rgb="FF000080"/>
      <rgbColor rgb="FFFF00FF"/>
      <rgbColor rgb="FFF4F6FA"/>
      <rgbColor rgb="FF00FFFF"/>
      <rgbColor rgb="FF800080"/>
      <rgbColor rgb="FF800000"/>
      <rgbColor rgb="FF0D6B3A"/>
      <rgbColor rgb="FF0000FF"/>
      <rgbColor rgb="FF00C8FF"/>
      <rgbColor rgb="FFDBEAFE"/>
      <rgbColor rgb="FFD4EDDA"/>
      <rgbColor rgb="FFFEF3C7"/>
      <rgbColor rgb="FF7BBFEA"/>
      <rgbColor rgb="FFFDE8E8"/>
      <rgbColor rgb="FFC0D8E8"/>
      <rgbColor rgb="FFFEE2E2"/>
      <rgbColor rgb="FF1D4ED8"/>
      <rgbColor rgb="FF33CCCC"/>
      <rgbColor rgb="FF99CC00"/>
      <rgbColor rgb="FFFFCC00"/>
      <rgbColor rgb="FFFF9900"/>
      <rgbColor rgb="FFFF6600"/>
      <rgbColor rgb="FF6B7280"/>
      <rgbColor rgb="FFEDE9FE"/>
      <rgbColor rgb="FF0D2A5E"/>
      <rgbColor rgb="FF1E6B3A"/>
      <rgbColor rgb="FF081830"/>
      <rgbColor rgb="FF0D2040"/>
      <rgbColor rgb="FF92400E"/>
      <rgbColor rgb="FFB45309"/>
      <rgbColor rgb="FF065F46"/>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81830"/>
  </sheetPr>
  <dimension ref="A1:N60"/>
  <sheetViews>
    <sheetView showGridLines="0" workbookViewId="0">
      <selection activeCell="A34" sqref="A34"/>
    </sheetView>
  </sheetViews>
  <sheetFormatPr defaultColWidth="8.6640625" defaultRowHeight="14.4" x14ac:dyDescent="0.3"/>
  <cols>
    <col min="1" max="1" width="3" customWidth="1"/>
    <col min="2" max="2" width="16" customWidth="1"/>
    <col min="3" max="3" width="21.88671875" bestFit="1" customWidth="1"/>
    <col min="4" max="4" width="97.5546875" bestFit="1" customWidth="1"/>
    <col min="5" max="13" width="16" customWidth="1"/>
  </cols>
  <sheetData>
    <row r="1" spans="1:14" ht="9.75" customHeight="1" x14ac:dyDescent="0.3">
      <c r="A1" s="1"/>
      <c r="B1" s="1"/>
      <c r="C1" s="1"/>
      <c r="D1" s="1"/>
      <c r="E1" s="1"/>
      <c r="F1" s="1"/>
      <c r="G1" s="1"/>
      <c r="H1" s="1"/>
      <c r="I1" s="1"/>
      <c r="J1" s="1"/>
      <c r="K1" s="1"/>
      <c r="L1" s="1"/>
      <c r="M1" s="1"/>
      <c r="N1" s="1"/>
    </row>
    <row r="2" spans="1:14" x14ac:dyDescent="0.3">
      <c r="A2" s="1"/>
      <c r="B2" s="106" t="s">
        <v>0</v>
      </c>
      <c r="C2" s="106"/>
      <c r="D2" s="106"/>
      <c r="E2" s="106"/>
      <c r="F2" s="106"/>
      <c r="G2" s="106"/>
      <c r="H2" s="106"/>
      <c r="I2" s="106"/>
      <c r="J2" s="106"/>
      <c r="K2" s="106"/>
      <c r="L2" s="106"/>
      <c r="M2" s="106"/>
      <c r="N2" s="1"/>
    </row>
    <row r="3" spans="1:14" x14ac:dyDescent="0.3">
      <c r="A3" s="1"/>
      <c r="B3" s="106"/>
      <c r="C3" s="106"/>
      <c r="D3" s="106"/>
      <c r="E3" s="106"/>
      <c r="F3" s="106"/>
      <c r="G3" s="106"/>
      <c r="H3" s="106"/>
      <c r="I3" s="106"/>
      <c r="J3" s="106"/>
      <c r="K3" s="106"/>
      <c r="L3" s="106"/>
      <c r="M3" s="106"/>
      <c r="N3" s="1"/>
    </row>
    <row r="4" spans="1:14" ht="15.6" x14ac:dyDescent="0.3">
      <c r="A4" s="1"/>
      <c r="B4" s="107" t="s">
        <v>1</v>
      </c>
      <c r="C4" s="107"/>
      <c r="D4" s="107"/>
      <c r="E4" s="107"/>
      <c r="F4" s="107"/>
      <c r="G4" s="107"/>
      <c r="H4" s="107"/>
      <c r="I4" s="107"/>
      <c r="J4" s="107"/>
      <c r="K4" s="107"/>
      <c r="L4" s="107"/>
      <c r="M4" s="107"/>
      <c r="N4" s="1"/>
    </row>
    <row r="5" spans="1:14" x14ac:dyDescent="0.3">
      <c r="A5" s="1"/>
      <c r="B5" s="108" t="s">
        <v>2</v>
      </c>
      <c r="C5" s="108"/>
      <c r="D5" s="108"/>
      <c r="E5" s="108"/>
      <c r="F5" s="108"/>
      <c r="G5" s="108"/>
      <c r="H5" s="108"/>
      <c r="I5" s="108"/>
      <c r="J5" s="108"/>
      <c r="K5" s="108"/>
      <c r="L5" s="108"/>
      <c r="M5" s="108"/>
      <c r="N5" s="1"/>
    </row>
    <row r="6" spans="1:14" x14ac:dyDescent="0.3">
      <c r="A6" s="1"/>
      <c r="B6" s="2"/>
      <c r="C6" s="2"/>
      <c r="D6" s="2"/>
      <c r="E6" s="2"/>
      <c r="F6" s="2"/>
      <c r="G6" s="2"/>
      <c r="H6" s="2"/>
      <c r="I6" s="2"/>
      <c r="J6" s="2"/>
      <c r="K6" s="2"/>
      <c r="L6" s="2"/>
      <c r="M6" s="2"/>
      <c r="N6" s="1"/>
    </row>
    <row r="7" spans="1:14" x14ac:dyDescent="0.3">
      <c r="A7" s="1"/>
      <c r="B7" s="1"/>
      <c r="C7" s="1"/>
      <c r="D7" s="1"/>
      <c r="E7" s="1"/>
      <c r="F7" s="1"/>
      <c r="G7" s="1"/>
      <c r="H7" s="1"/>
      <c r="I7" s="1"/>
      <c r="J7" s="1"/>
      <c r="K7" s="1"/>
      <c r="L7" s="1"/>
      <c r="M7" s="1"/>
      <c r="N7" s="1"/>
    </row>
    <row r="8" spans="1:14" x14ac:dyDescent="0.3">
      <c r="A8" s="1"/>
      <c r="B8" s="109" t="s">
        <v>3</v>
      </c>
      <c r="C8" s="109"/>
      <c r="D8" s="109"/>
      <c r="E8" s="109"/>
      <c r="F8" s="109"/>
      <c r="G8" s="109"/>
      <c r="H8" s="109"/>
      <c r="I8" s="109"/>
      <c r="J8" s="109"/>
      <c r="K8" s="109"/>
      <c r="L8" s="109"/>
      <c r="M8" s="109"/>
      <c r="N8" s="1"/>
    </row>
    <row r="9" spans="1:14" ht="27.75" customHeight="1" x14ac:dyDescent="0.3">
      <c r="A9" s="1"/>
      <c r="B9" s="3" t="s">
        <v>4</v>
      </c>
      <c r="C9" s="105" t="s">
        <v>5</v>
      </c>
      <c r="D9" s="105"/>
      <c r="E9" s="105"/>
      <c r="F9" s="105"/>
      <c r="G9" s="105"/>
      <c r="H9" s="105"/>
      <c r="I9" s="105"/>
      <c r="J9" s="105"/>
      <c r="K9" s="105"/>
      <c r="L9" s="105"/>
      <c r="M9" s="105"/>
      <c r="N9" s="1"/>
    </row>
    <row r="10" spans="1:14" ht="27.75" customHeight="1" x14ac:dyDescent="0.3">
      <c r="A10" s="1"/>
      <c r="B10" s="3" t="s">
        <v>6</v>
      </c>
      <c r="C10" s="105" t="s">
        <v>7</v>
      </c>
      <c r="D10" s="105"/>
      <c r="E10" s="105"/>
      <c r="F10" s="105"/>
      <c r="G10" s="105"/>
      <c r="H10" s="105"/>
      <c r="I10" s="105"/>
      <c r="J10" s="105"/>
      <c r="K10" s="105"/>
      <c r="L10" s="105"/>
      <c r="M10" s="105"/>
      <c r="N10" s="1"/>
    </row>
    <row r="11" spans="1:14" ht="27.75" customHeight="1" x14ac:dyDescent="0.3">
      <c r="A11" s="1"/>
      <c r="B11" s="3" t="s">
        <v>8</v>
      </c>
      <c r="C11" s="105" t="s">
        <v>9</v>
      </c>
      <c r="D11" s="105"/>
      <c r="E11" s="105"/>
      <c r="F11" s="105"/>
      <c r="G11" s="105"/>
      <c r="H11" s="105"/>
      <c r="I11" s="105"/>
      <c r="J11" s="105"/>
      <c r="K11" s="105"/>
      <c r="L11" s="105"/>
      <c r="M11" s="105"/>
      <c r="N11" s="1"/>
    </row>
    <row r="12" spans="1:14" ht="27.75" customHeight="1" x14ac:dyDescent="0.3">
      <c r="A12" s="1"/>
      <c r="B12" s="3" t="s">
        <v>10</v>
      </c>
      <c r="C12" s="105" t="s">
        <v>11</v>
      </c>
      <c r="D12" s="105"/>
      <c r="E12" s="105"/>
      <c r="F12" s="105"/>
      <c r="G12" s="105"/>
      <c r="H12" s="105"/>
      <c r="I12" s="105"/>
      <c r="J12" s="105"/>
      <c r="K12" s="105"/>
      <c r="L12" s="105"/>
      <c r="M12" s="105"/>
      <c r="N12" s="1"/>
    </row>
    <row r="13" spans="1:14" ht="27.75" customHeight="1" x14ac:dyDescent="0.3">
      <c r="A13" s="1"/>
      <c r="B13" s="3" t="s">
        <v>12</v>
      </c>
      <c r="C13" s="105" t="s">
        <v>13</v>
      </c>
      <c r="D13" s="105"/>
      <c r="E13" s="105"/>
      <c r="F13" s="105"/>
      <c r="G13" s="105"/>
      <c r="H13" s="105"/>
      <c r="I13" s="105"/>
      <c r="J13" s="105"/>
      <c r="K13" s="105"/>
      <c r="L13" s="105"/>
      <c r="M13" s="105"/>
      <c r="N13" s="1"/>
    </row>
    <row r="14" spans="1:14" ht="27.75" customHeight="1" x14ac:dyDescent="0.3">
      <c r="A14" s="1"/>
      <c r="B14" s="3" t="s">
        <v>14</v>
      </c>
      <c r="C14" s="105" t="s">
        <v>15</v>
      </c>
      <c r="D14" s="105"/>
      <c r="E14" s="105"/>
      <c r="F14" s="105"/>
      <c r="G14" s="105"/>
      <c r="H14" s="105"/>
      <c r="I14" s="105"/>
      <c r="J14" s="105"/>
      <c r="K14" s="105"/>
      <c r="L14" s="105"/>
      <c r="M14" s="105"/>
      <c r="N14" s="1"/>
    </row>
    <row r="15" spans="1:14" x14ac:dyDescent="0.3">
      <c r="A15" s="1"/>
      <c r="B15" s="1"/>
      <c r="C15" s="1"/>
      <c r="D15" s="1"/>
      <c r="E15" s="1"/>
      <c r="F15" s="1"/>
      <c r="G15" s="1"/>
      <c r="H15" s="1"/>
      <c r="I15" s="1"/>
      <c r="J15" s="1"/>
      <c r="K15" s="1"/>
      <c r="L15" s="1"/>
      <c r="M15" s="1"/>
      <c r="N15" s="1"/>
    </row>
    <row r="16" spans="1:14" x14ac:dyDescent="0.3">
      <c r="A16" s="1"/>
      <c r="B16" s="104" t="s">
        <v>16</v>
      </c>
      <c r="C16" s="104"/>
      <c r="D16" s="104"/>
      <c r="E16" s="104"/>
      <c r="F16" s="104"/>
      <c r="G16" s="104"/>
      <c r="H16" s="104"/>
      <c r="I16" s="104"/>
      <c r="J16" s="104"/>
      <c r="K16" s="104"/>
      <c r="L16" s="104"/>
      <c r="M16" s="104"/>
      <c r="N16" s="1"/>
    </row>
    <row r="17" spans="1:14" ht="18" customHeight="1" x14ac:dyDescent="0.3">
      <c r="A17" s="1"/>
      <c r="B17" s="4" t="s">
        <v>17</v>
      </c>
      <c r="C17" s="5" t="s">
        <v>18</v>
      </c>
      <c r="D17" s="4" t="s">
        <v>19</v>
      </c>
      <c r="E17" s="1"/>
      <c r="F17" s="1"/>
      <c r="G17" s="1"/>
      <c r="H17" s="1"/>
      <c r="I17" s="1"/>
      <c r="J17" s="1"/>
      <c r="K17" s="1"/>
      <c r="L17" s="1"/>
      <c r="M17" s="1"/>
      <c r="N17" s="1"/>
    </row>
    <row r="18" spans="1:14" ht="18" customHeight="1" x14ac:dyDescent="0.3">
      <c r="A18" s="1"/>
      <c r="B18" s="4" t="s">
        <v>20</v>
      </c>
      <c r="C18" s="5" t="s">
        <v>21</v>
      </c>
      <c r="D18" s="4" t="s">
        <v>22</v>
      </c>
      <c r="E18" s="1"/>
      <c r="F18" s="1"/>
      <c r="G18" s="1"/>
      <c r="H18" s="1"/>
      <c r="I18" s="1"/>
      <c r="J18" s="1"/>
      <c r="K18" s="1"/>
      <c r="L18" s="1"/>
      <c r="M18" s="1"/>
      <c r="N18" s="1"/>
    </row>
    <row r="19" spans="1:14" ht="18" customHeight="1" x14ac:dyDescent="0.3">
      <c r="A19" s="1"/>
      <c r="B19" s="4" t="s">
        <v>23</v>
      </c>
      <c r="C19" s="5" t="s">
        <v>24</v>
      </c>
      <c r="D19" s="4" t="s">
        <v>25</v>
      </c>
      <c r="E19" s="1"/>
      <c r="F19" s="1"/>
      <c r="G19" s="1"/>
      <c r="H19" s="1"/>
      <c r="I19" s="1"/>
      <c r="J19" s="1"/>
      <c r="K19" s="1"/>
      <c r="L19" s="1"/>
      <c r="M19" s="1"/>
      <c r="N19" s="1"/>
    </row>
    <row r="20" spans="1:14" ht="18" customHeight="1" x14ac:dyDescent="0.3">
      <c r="A20" s="1"/>
      <c r="B20" s="4" t="s">
        <v>26</v>
      </c>
      <c r="C20" s="5" t="s">
        <v>27</v>
      </c>
      <c r="D20" s="4" t="s">
        <v>28</v>
      </c>
      <c r="E20" s="1"/>
      <c r="F20" s="1"/>
      <c r="G20" s="1"/>
      <c r="H20" s="1"/>
      <c r="I20" s="1"/>
      <c r="J20" s="1"/>
      <c r="K20" s="1"/>
      <c r="L20" s="1"/>
      <c r="M20" s="1"/>
      <c r="N20" s="1"/>
    </row>
    <row r="21" spans="1:14" ht="18" customHeight="1" x14ac:dyDescent="0.3">
      <c r="A21" s="1"/>
      <c r="B21" s="4" t="s">
        <v>29</v>
      </c>
      <c r="C21" s="5" t="s">
        <v>30</v>
      </c>
      <c r="D21" s="4" t="s">
        <v>31</v>
      </c>
      <c r="E21" s="1"/>
      <c r="F21" s="1"/>
      <c r="G21" s="1"/>
      <c r="H21" s="1"/>
      <c r="I21" s="1"/>
      <c r="J21" s="1"/>
      <c r="K21" s="1"/>
      <c r="L21" s="1"/>
      <c r="M21" s="1"/>
      <c r="N21" s="1"/>
    </row>
    <row r="22" spans="1:14" ht="18" customHeight="1" x14ac:dyDescent="0.3">
      <c r="A22" s="1"/>
      <c r="B22" s="4" t="s">
        <v>32</v>
      </c>
      <c r="C22" s="5" t="s">
        <v>33</v>
      </c>
      <c r="D22" s="4" t="s">
        <v>34</v>
      </c>
      <c r="E22" s="1"/>
      <c r="F22" s="1"/>
      <c r="G22" s="1"/>
      <c r="H22" s="1"/>
      <c r="I22" s="1"/>
      <c r="J22" s="1"/>
      <c r="K22" s="1"/>
      <c r="L22" s="1"/>
      <c r="M22" s="1"/>
      <c r="N22" s="1"/>
    </row>
    <row r="23" spans="1:14" ht="18" customHeight="1" x14ac:dyDescent="0.3">
      <c r="A23" s="1"/>
      <c r="B23" s="4" t="s">
        <v>35</v>
      </c>
      <c r="C23" s="5" t="s">
        <v>36</v>
      </c>
      <c r="D23" s="4" t="s">
        <v>37</v>
      </c>
      <c r="E23" s="1"/>
      <c r="F23" s="1"/>
      <c r="G23" s="1"/>
      <c r="H23" s="1"/>
      <c r="I23" s="1"/>
      <c r="J23" s="1"/>
      <c r="K23" s="1"/>
      <c r="L23" s="1"/>
      <c r="M23" s="1"/>
      <c r="N23" s="1"/>
    </row>
    <row r="24" spans="1:14" ht="18" customHeight="1" x14ac:dyDescent="0.3">
      <c r="A24" s="1"/>
      <c r="B24" s="4" t="s">
        <v>38</v>
      </c>
      <c r="C24" s="5" t="s">
        <v>39</v>
      </c>
      <c r="D24" s="4" t="s">
        <v>40</v>
      </c>
      <c r="E24" s="1"/>
      <c r="F24" s="1"/>
      <c r="G24" s="1"/>
      <c r="H24" s="1"/>
      <c r="I24" s="1"/>
      <c r="J24" s="1"/>
      <c r="K24" s="1"/>
      <c r="L24" s="1"/>
      <c r="M24" s="1"/>
      <c r="N24" s="1"/>
    </row>
    <row r="25" spans="1:14" ht="18" customHeight="1" x14ac:dyDescent="0.3">
      <c r="A25" s="1"/>
      <c r="B25" s="4" t="s">
        <v>41</v>
      </c>
      <c r="C25" s="5" t="s">
        <v>42</v>
      </c>
      <c r="D25" s="4" t="s">
        <v>43</v>
      </c>
      <c r="E25" s="1"/>
      <c r="F25" s="1"/>
      <c r="G25" s="1"/>
      <c r="H25" s="1"/>
      <c r="I25" s="1"/>
      <c r="J25" s="1"/>
      <c r="K25" s="1"/>
      <c r="L25" s="1"/>
      <c r="M25" s="1"/>
      <c r="N25" s="1"/>
    </row>
    <row r="26" spans="1:14" ht="18" customHeight="1" x14ac:dyDescent="0.3">
      <c r="A26" s="1"/>
      <c r="B26" s="4" t="s">
        <v>44</v>
      </c>
      <c r="C26" s="5" t="s">
        <v>45</v>
      </c>
      <c r="D26" s="4" t="s">
        <v>46</v>
      </c>
      <c r="E26" s="1"/>
      <c r="F26" s="1"/>
      <c r="G26" s="1"/>
      <c r="H26" s="1"/>
      <c r="I26" s="1"/>
      <c r="J26" s="1"/>
      <c r="K26" s="1"/>
      <c r="L26" s="1"/>
      <c r="M26" s="1"/>
      <c r="N26" s="1"/>
    </row>
    <row r="27" spans="1:14" x14ac:dyDescent="0.3">
      <c r="A27" s="1"/>
      <c r="B27" s="1"/>
      <c r="C27" s="1"/>
      <c r="D27" s="1"/>
      <c r="E27" s="1"/>
      <c r="F27" s="1"/>
      <c r="G27" s="1"/>
      <c r="H27" s="1"/>
      <c r="I27" s="1"/>
      <c r="J27" s="1"/>
      <c r="K27" s="1"/>
      <c r="L27" s="1"/>
      <c r="M27" s="1"/>
      <c r="N27" s="1"/>
    </row>
    <row r="28" spans="1:14" x14ac:dyDescent="0.3">
      <c r="A28" s="1"/>
      <c r="B28" s="104" t="s">
        <v>47</v>
      </c>
      <c r="C28" s="104"/>
      <c r="D28" s="104"/>
      <c r="E28" s="104"/>
      <c r="F28" s="104"/>
      <c r="G28" s="104"/>
      <c r="H28" s="104"/>
      <c r="I28" s="104"/>
      <c r="J28" s="104"/>
      <c r="K28" s="104"/>
      <c r="L28" s="104"/>
      <c r="M28" s="104"/>
      <c r="N28" s="1"/>
    </row>
    <row r="29" spans="1:14" ht="18" customHeight="1" x14ac:dyDescent="0.3">
      <c r="A29" s="1"/>
      <c r="B29" s="6" t="s">
        <v>48</v>
      </c>
      <c r="C29" s="7" t="s">
        <v>49</v>
      </c>
      <c r="D29" s="103" t="s">
        <v>50</v>
      </c>
      <c r="E29" s="103"/>
      <c r="F29" s="103"/>
      <c r="G29" s="103"/>
      <c r="H29" s="103"/>
      <c r="I29" s="103"/>
      <c r="J29" s="103"/>
      <c r="K29" s="103"/>
      <c r="L29" s="103"/>
      <c r="M29" s="103"/>
      <c r="N29" s="1"/>
    </row>
    <row r="30" spans="1:14" ht="18" customHeight="1" x14ac:dyDescent="0.3">
      <c r="A30" s="1"/>
      <c r="B30" s="8" t="s">
        <v>48</v>
      </c>
      <c r="C30" s="9" t="s">
        <v>51</v>
      </c>
      <c r="D30" s="103" t="s">
        <v>52</v>
      </c>
      <c r="E30" s="103"/>
      <c r="F30" s="103"/>
      <c r="G30" s="103"/>
      <c r="H30" s="103"/>
      <c r="I30" s="103"/>
      <c r="J30" s="103"/>
      <c r="K30" s="103"/>
      <c r="L30" s="103"/>
      <c r="M30" s="103"/>
      <c r="N30" s="1"/>
    </row>
    <row r="31" spans="1:14" ht="18" customHeight="1" x14ac:dyDescent="0.3">
      <c r="A31" s="1"/>
      <c r="B31" s="10" t="s">
        <v>48</v>
      </c>
      <c r="C31" s="11" t="s">
        <v>53</v>
      </c>
      <c r="D31" s="103" t="s">
        <v>54</v>
      </c>
      <c r="E31" s="103"/>
      <c r="F31" s="103"/>
      <c r="G31" s="103"/>
      <c r="H31" s="103"/>
      <c r="I31" s="103"/>
      <c r="J31" s="103"/>
      <c r="K31" s="103"/>
      <c r="L31" s="103"/>
      <c r="M31" s="103"/>
      <c r="N31" s="1"/>
    </row>
    <row r="32" spans="1:14" ht="18" customHeight="1" x14ac:dyDescent="0.3">
      <c r="A32" s="1"/>
      <c r="B32" s="12" t="s">
        <v>48</v>
      </c>
      <c r="C32" s="13" t="s">
        <v>55</v>
      </c>
      <c r="D32" s="103" t="s">
        <v>56</v>
      </c>
      <c r="E32" s="103"/>
      <c r="F32" s="103"/>
      <c r="G32" s="103"/>
      <c r="H32" s="103"/>
      <c r="I32" s="103"/>
      <c r="J32" s="103"/>
      <c r="K32" s="103"/>
      <c r="L32" s="103"/>
      <c r="M32" s="103"/>
      <c r="N32" s="1"/>
    </row>
    <row r="33" spans="1:14" ht="18" customHeight="1" x14ac:dyDescent="0.3">
      <c r="A33" s="1"/>
      <c r="B33" s="14" t="s">
        <v>48</v>
      </c>
      <c r="C33" s="15" t="s">
        <v>57</v>
      </c>
      <c r="D33" s="103" t="s">
        <v>58</v>
      </c>
      <c r="E33" s="103"/>
      <c r="F33" s="103"/>
      <c r="G33" s="103"/>
      <c r="H33" s="103"/>
      <c r="I33" s="103"/>
      <c r="J33" s="103"/>
      <c r="K33" s="103"/>
      <c r="L33" s="103"/>
      <c r="M33" s="103"/>
      <c r="N33" s="1"/>
    </row>
    <row r="34" spans="1:14" ht="18" customHeight="1" x14ac:dyDescent="0.3">
      <c r="A34" s="1"/>
      <c r="B34" s="16" t="s">
        <v>48</v>
      </c>
      <c r="C34" s="17" t="s">
        <v>59</v>
      </c>
      <c r="D34" s="103" t="s">
        <v>60</v>
      </c>
      <c r="E34" s="103"/>
      <c r="F34" s="103"/>
      <c r="G34" s="103"/>
      <c r="H34" s="103"/>
      <c r="I34" s="103"/>
      <c r="J34" s="103"/>
      <c r="K34" s="103"/>
      <c r="L34" s="103"/>
      <c r="M34" s="103"/>
      <c r="N34" s="1"/>
    </row>
    <row r="35" spans="1:14" ht="18" customHeight="1" x14ac:dyDescent="0.3">
      <c r="A35" s="1"/>
      <c r="B35" s="18" t="s">
        <v>48</v>
      </c>
      <c r="C35" s="19" t="s">
        <v>61</v>
      </c>
      <c r="D35" s="103" t="s">
        <v>62</v>
      </c>
      <c r="E35" s="103"/>
      <c r="F35" s="103"/>
      <c r="G35" s="103"/>
      <c r="H35" s="103"/>
      <c r="I35" s="103"/>
      <c r="J35" s="103"/>
      <c r="K35" s="103"/>
      <c r="L35" s="103"/>
      <c r="M35" s="103"/>
      <c r="N35" s="1"/>
    </row>
    <row r="36" spans="1:14" ht="18" customHeight="1" x14ac:dyDescent="0.3">
      <c r="A36" s="1"/>
      <c r="B36" s="20" t="s">
        <v>48</v>
      </c>
      <c r="C36" s="21" t="s">
        <v>63</v>
      </c>
      <c r="D36" s="103" t="s">
        <v>64</v>
      </c>
      <c r="E36" s="103"/>
      <c r="F36" s="103"/>
      <c r="G36" s="103"/>
      <c r="H36" s="103"/>
      <c r="I36" s="103"/>
      <c r="J36" s="103"/>
      <c r="K36" s="103"/>
      <c r="L36" s="103"/>
      <c r="M36" s="103"/>
      <c r="N36" s="1"/>
    </row>
    <row r="37" spans="1:14" ht="18" customHeight="1" x14ac:dyDescent="0.3">
      <c r="A37" s="1"/>
      <c r="B37" s="22" t="s">
        <v>48</v>
      </c>
      <c r="C37" s="23" t="s">
        <v>65</v>
      </c>
      <c r="D37" s="103" t="s">
        <v>66</v>
      </c>
      <c r="E37" s="103"/>
      <c r="F37" s="103"/>
      <c r="G37" s="103"/>
      <c r="H37" s="103"/>
      <c r="I37" s="103"/>
      <c r="J37" s="103"/>
      <c r="K37" s="103"/>
      <c r="L37" s="103"/>
      <c r="M37" s="103"/>
      <c r="N37" s="1"/>
    </row>
    <row r="38" spans="1:14" x14ac:dyDescent="0.3">
      <c r="A38" s="1"/>
      <c r="B38" s="1"/>
      <c r="C38" s="1"/>
      <c r="D38" s="1"/>
      <c r="E38" s="1"/>
      <c r="F38" s="1"/>
      <c r="G38" s="1"/>
      <c r="H38" s="1"/>
      <c r="I38" s="1"/>
      <c r="J38" s="1"/>
      <c r="K38" s="1"/>
      <c r="L38" s="1"/>
      <c r="M38" s="1"/>
      <c r="N38" s="1"/>
    </row>
    <row r="39" spans="1:14" x14ac:dyDescent="0.3">
      <c r="A39" s="1"/>
      <c r="B39" s="1"/>
      <c r="C39" s="1"/>
      <c r="D39" s="1"/>
      <c r="E39" s="1"/>
      <c r="F39" s="1"/>
      <c r="G39" s="1"/>
      <c r="H39" s="1"/>
      <c r="I39" s="1"/>
      <c r="J39" s="1"/>
      <c r="K39" s="1"/>
      <c r="L39" s="1"/>
      <c r="M39" s="1"/>
      <c r="N39" s="1"/>
    </row>
    <row r="40" spans="1:14" x14ac:dyDescent="0.3">
      <c r="A40" s="1"/>
      <c r="B40" s="1"/>
      <c r="C40" s="1"/>
      <c r="D40" s="1"/>
      <c r="E40" s="1"/>
      <c r="F40" s="1"/>
      <c r="G40" s="1"/>
      <c r="H40" s="1"/>
      <c r="I40" s="1"/>
      <c r="J40" s="1"/>
      <c r="K40" s="1"/>
      <c r="L40" s="1"/>
      <c r="M40" s="1"/>
      <c r="N40" s="1"/>
    </row>
    <row r="41" spans="1:14" x14ac:dyDescent="0.3">
      <c r="A41" s="1"/>
      <c r="B41" s="1"/>
      <c r="C41" s="1"/>
      <c r="D41" s="1"/>
      <c r="E41" s="1"/>
      <c r="F41" s="1"/>
      <c r="G41" s="1"/>
      <c r="H41" s="1"/>
      <c r="I41" s="1"/>
      <c r="J41" s="1"/>
      <c r="K41" s="1"/>
      <c r="L41" s="1"/>
      <c r="M41" s="1"/>
      <c r="N41" s="1"/>
    </row>
    <row r="42" spans="1:14" x14ac:dyDescent="0.3">
      <c r="A42" s="1"/>
      <c r="B42" s="1"/>
      <c r="C42" s="1"/>
      <c r="D42" s="1"/>
      <c r="E42" s="1"/>
      <c r="F42" s="1"/>
      <c r="G42" s="1"/>
      <c r="H42" s="1"/>
      <c r="I42" s="1"/>
      <c r="J42" s="1"/>
      <c r="K42" s="1"/>
      <c r="L42" s="1"/>
      <c r="M42" s="1"/>
      <c r="N42" s="1"/>
    </row>
    <row r="43" spans="1:14" x14ac:dyDescent="0.3">
      <c r="A43" s="1"/>
      <c r="B43" s="1"/>
      <c r="C43" s="1"/>
      <c r="D43" s="1"/>
      <c r="E43" s="1"/>
      <c r="F43" s="1"/>
      <c r="G43" s="1"/>
      <c r="H43" s="1"/>
      <c r="I43" s="1"/>
      <c r="J43" s="1"/>
      <c r="K43" s="1"/>
      <c r="L43" s="1"/>
      <c r="M43" s="1"/>
      <c r="N43" s="1"/>
    </row>
    <row r="44" spans="1:14" x14ac:dyDescent="0.3">
      <c r="A44" s="1"/>
      <c r="B44" s="1"/>
      <c r="C44" s="1"/>
      <c r="D44" s="1"/>
      <c r="E44" s="1"/>
      <c r="F44" s="1"/>
      <c r="G44" s="1"/>
      <c r="H44" s="1"/>
      <c r="I44" s="1"/>
      <c r="J44" s="1"/>
      <c r="K44" s="1"/>
      <c r="L44" s="1"/>
      <c r="M44" s="1"/>
      <c r="N44" s="1"/>
    </row>
    <row r="45" spans="1:14" x14ac:dyDescent="0.3">
      <c r="A45" s="1"/>
      <c r="B45" s="1"/>
      <c r="C45" s="1"/>
      <c r="D45" s="1"/>
      <c r="E45" s="1"/>
      <c r="F45" s="1"/>
      <c r="G45" s="1"/>
      <c r="H45" s="1"/>
      <c r="I45" s="1"/>
      <c r="J45" s="1"/>
      <c r="K45" s="1"/>
      <c r="L45" s="1"/>
      <c r="M45" s="1"/>
      <c r="N45" s="1"/>
    </row>
    <row r="46" spans="1:14" x14ac:dyDescent="0.3">
      <c r="A46" s="1"/>
      <c r="B46" s="1"/>
      <c r="C46" s="1"/>
      <c r="D46" s="1"/>
      <c r="E46" s="1"/>
      <c r="F46" s="1"/>
      <c r="G46" s="1"/>
      <c r="H46" s="1"/>
      <c r="I46" s="1"/>
      <c r="J46" s="1"/>
      <c r="K46" s="1"/>
      <c r="L46" s="1"/>
      <c r="M46" s="1"/>
      <c r="N46" s="1"/>
    </row>
    <row r="47" spans="1:14" x14ac:dyDescent="0.3">
      <c r="A47" s="1"/>
      <c r="B47" s="1"/>
      <c r="C47" s="1"/>
      <c r="D47" s="1"/>
      <c r="E47" s="1"/>
      <c r="F47" s="1"/>
      <c r="G47" s="1"/>
      <c r="H47" s="1"/>
      <c r="I47" s="1"/>
      <c r="J47" s="1"/>
      <c r="K47" s="1"/>
      <c r="L47" s="1"/>
      <c r="M47" s="1"/>
      <c r="N47" s="1"/>
    </row>
    <row r="48" spans="1:14" x14ac:dyDescent="0.3">
      <c r="A48" s="1"/>
      <c r="B48" s="1"/>
      <c r="C48" s="1"/>
      <c r="D48" s="1"/>
      <c r="E48" s="1"/>
      <c r="F48" s="1"/>
      <c r="G48" s="1"/>
      <c r="H48" s="1"/>
      <c r="I48" s="1"/>
      <c r="J48" s="1"/>
      <c r="K48" s="1"/>
      <c r="L48" s="1"/>
      <c r="M48" s="1"/>
      <c r="N48" s="1"/>
    </row>
    <row r="49" spans="1:14" x14ac:dyDescent="0.3">
      <c r="A49" s="1"/>
      <c r="B49" s="1"/>
      <c r="C49" s="1"/>
      <c r="D49" s="1"/>
      <c r="E49" s="1"/>
      <c r="F49" s="1"/>
      <c r="G49" s="1"/>
      <c r="H49" s="1"/>
      <c r="I49" s="1"/>
      <c r="J49" s="1"/>
      <c r="K49" s="1"/>
      <c r="L49" s="1"/>
      <c r="M49" s="1"/>
      <c r="N49" s="1"/>
    </row>
    <row r="50" spans="1:14" x14ac:dyDescent="0.3">
      <c r="A50" s="1"/>
      <c r="B50" s="1"/>
      <c r="C50" s="1"/>
      <c r="D50" s="1"/>
      <c r="E50" s="1"/>
      <c r="F50" s="1"/>
      <c r="G50" s="1"/>
      <c r="H50" s="1"/>
      <c r="I50" s="1"/>
      <c r="J50" s="1"/>
      <c r="K50" s="1"/>
      <c r="L50" s="1"/>
      <c r="M50" s="1"/>
      <c r="N50" s="1"/>
    </row>
    <row r="51" spans="1:14" x14ac:dyDescent="0.3">
      <c r="A51" s="1"/>
      <c r="B51" s="1"/>
      <c r="C51" s="1"/>
      <c r="D51" s="1"/>
      <c r="E51" s="1"/>
      <c r="F51" s="1"/>
      <c r="G51" s="1"/>
      <c r="H51" s="1"/>
      <c r="I51" s="1"/>
      <c r="J51" s="1"/>
      <c r="K51" s="1"/>
      <c r="L51" s="1"/>
      <c r="M51" s="1"/>
      <c r="N51" s="1"/>
    </row>
    <row r="52" spans="1:14" x14ac:dyDescent="0.3">
      <c r="A52" s="1"/>
      <c r="B52" s="1"/>
      <c r="C52" s="1"/>
      <c r="D52" s="1"/>
      <c r="E52" s="1"/>
      <c r="F52" s="1"/>
      <c r="G52" s="1"/>
      <c r="H52" s="1"/>
      <c r="I52" s="1"/>
      <c r="J52" s="1"/>
      <c r="K52" s="1"/>
      <c r="L52" s="1"/>
      <c r="M52" s="1"/>
      <c r="N52" s="1"/>
    </row>
    <row r="53" spans="1:14" x14ac:dyDescent="0.3">
      <c r="A53" s="1"/>
      <c r="B53" s="1"/>
      <c r="C53" s="1"/>
      <c r="D53" s="1"/>
      <c r="E53" s="1"/>
      <c r="F53" s="1"/>
      <c r="G53" s="1"/>
      <c r="H53" s="1"/>
      <c r="I53" s="1"/>
      <c r="J53" s="1"/>
      <c r="K53" s="1"/>
      <c r="L53" s="1"/>
      <c r="M53" s="1"/>
      <c r="N53" s="1"/>
    </row>
    <row r="54" spans="1:14" x14ac:dyDescent="0.3">
      <c r="A54" s="1"/>
      <c r="B54" s="1"/>
      <c r="C54" s="1"/>
      <c r="D54" s="1"/>
      <c r="E54" s="1"/>
      <c r="F54" s="1"/>
      <c r="G54" s="1"/>
      <c r="H54" s="1"/>
      <c r="I54" s="1"/>
      <c r="J54" s="1"/>
      <c r="K54" s="1"/>
      <c r="L54" s="1"/>
      <c r="M54" s="1"/>
      <c r="N54" s="1"/>
    </row>
    <row r="55" spans="1:14" x14ac:dyDescent="0.3">
      <c r="A55" s="1"/>
      <c r="B55" s="1"/>
      <c r="C55" s="1"/>
      <c r="D55" s="1"/>
      <c r="E55" s="1"/>
      <c r="F55" s="1"/>
      <c r="G55" s="1"/>
      <c r="H55" s="1"/>
      <c r="I55" s="1"/>
      <c r="J55" s="1"/>
      <c r="K55" s="1"/>
      <c r="L55" s="1"/>
      <c r="M55" s="1"/>
      <c r="N55" s="1"/>
    </row>
    <row r="56" spans="1:14" x14ac:dyDescent="0.3">
      <c r="A56" s="1"/>
      <c r="B56" s="1"/>
      <c r="C56" s="1"/>
      <c r="D56" s="1"/>
      <c r="E56" s="1"/>
      <c r="F56" s="1"/>
      <c r="G56" s="1"/>
      <c r="H56" s="1"/>
      <c r="I56" s="1"/>
      <c r="J56" s="1"/>
      <c r="K56" s="1"/>
      <c r="L56" s="1"/>
      <c r="M56" s="1"/>
      <c r="N56" s="1"/>
    </row>
    <row r="57" spans="1:14" x14ac:dyDescent="0.3">
      <c r="A57" s="1"/>
      <c r="B57" s="1"/>
      <c r="C57" s="1"/>
      <c r="D57" s="1"/>
      <c r="E57" s="1"/>
      <c r="F57" s="1"/>
      <c r="G57" s="1"/>
      <c r="H57" s="1"/>
      <c r="I57" s="1"/>
      <c r="J57" s="1"/>
      <c r="K57" s="1"/>
      <c r="L57" s="1"/>
      <c r="M57" s="1"/>
      <c r="N57" s="1"/>
    </row>
    <row r="58" spans="1:14" x14ac:dyDescent="0.3">
      <c r="A58" s="1"/>
      <c r="B58" s="1"/>
      <c r="C58" s="1"/>
      <c r="D58" s="1"/>
      <c r="E58" s="1"/>
      <c r="F58" s="1"/>
      <c r="G58" s="1"/>
      <c r="H58" s="1"/>
      <c r="I58" s="1"/>
      <c r="J58" s="1"/>
      <c r="K58" s="1"/>
      <c r="L58" s="1"/>
      <c r="M58" s="1"/>
      <c r="N58" s="1"/>
    </row>
    <row r="59" spans="1:14" x14ac:dyDescent="0.3">
      <c r="A59" s="1"/>
      <c r="B59" s="1"/>
      <c r="C59" s="1"/>
      <c r="D59" s="1"/>
      <c r="E59" s="1"/>
      <c r="F59" s="1"/>
      <c r="G59" s="1"/>
      <c r="H59" s="1"/>
      <c r="I59" s="1"/>
      <c r="J59" s="1"/>
      <c r="K59" s="1"/>
      <c r="L59" s="1"/>
      <c r="M59" s="1"/>
      <c r="N59" s="1"/>
    </row>
    <row r="60" spans="1:14" x14ac:dyDescent="0.3">
      <c r="A60" s="1"/>
      <c r="B60" s="1"/>
      <c r="C60" s="1"/>
      <c r="D60" s="1"/>
      <c r="E60" s="1"/>
      <c r="F60" s="1"/>
      <c r="G60" s="1"/>
      <c r="H60" s="1"/>
      <c r="I60" s="1"/>
      <c r="J60" s="1"/>
      <c r="K60" s="1"/>
      <c r="L60" s="1"/>
      <c r="M60" s="1"/>
      <c r="N60" s="1"/>
    </row>
  </sheetData>
  <mergeCells count="21">
    <mergeCell ref="B2:M3"/>
    <mergeCell ref="B4:M4"/>
    <mergeCell ref="B5:M5"/>
    <mergeCell ref="B8:M8"/>
    <mergeCell ref="C9:M9"/>
    <mergeCell ref="C10:M10"/>
    <mergeCell ref="C11:M11"/>
    <mergeCell ref="C12:M12"/>
    <mergeCell ref="C13:M13"/>
    <mergeCell ref="C14:M14"/>
    <mergeCell ref="B16:M16"/>
    <mergeCell ref="B28:M28"/>
    <mergeCell ref="D29:M29"/>
    <mergeCell ref="D30:M30"/>
    <mergeCell ref="D31:M31"/>
    <mergeCell ref="D37:M37"/>
    <mergeCell ref="D32:M32"/>
    <mergeCell ref="D33:M33"/>
    <mergeCell ref="D34:M34"/>
    <mergeCell ref="D35:M35"/>
    <mergeCell ref="D36:M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5BB8"/>
  </sheetPr>
  <dimension ref="A1:N17"/>
  <sheetViews>
    <sheetView showGridLines="0" workbookViewId="0">
      <pane xSplit="2" ySplit="4" topLeftCell="C5" activePane="bottomRight" state="frozen"/>
      <selection pane="topRight" activeCell="C1" sqref="C1"/>
      <selection pane="bottomLeft" activeCell="A5" sqref="A5"/>
      <selection pane="bottomRight" activeCell="D41" sqref="D41"/>
    </sheetView>
  </sheetViews>
  <sheetFormatPr defaultColWidth="8.6640625" defaultRowHeight="14.4" x14ac:dyDescent="0.3"/>
  <cols>
    <col min="1" max="1" width="4" customWidth="1"/>
    <col min="2" max="2" width="14" customWidth="1"/>
    <col min="3" max="3" width="28" customWidth="1"/>
    <col min="4" max="4" width="22.5546875" customWidth="1"/>
    <col min="5" max="5" width="18" customWidth="1"/>
    <col min="6" max="6" width="13" customWidth="1"/>
    <col min="7" max="7" width="16" customWidth="1"/>
    <col min="8" max="8" width="14" customWidth="1"/>
    <col min="9" max="9" width="12" customWidth="1"/>
    <col min="10" max="10" width="15" customWidth="1"/>
    <col min="11" max="11" width="20" customWidth="1"/>
    <col min="12" max="12" width="13" customWidth="1"/>
    <col min="13" max="13" width="28" customWidth="1"/>
    <col min="14" max="14" width="14" customWidth="1"/>
  </cols>
  <sheetData>
    <row r="1" spans="1:14" ht="19.5" customHeight="1" x14ac:dyDescent="0.3">
      <c r="A1" s="101" t="s">
        <v>67</v>
      </c>
      <c r="B1" s="101"/>
      <c r="C1" s="101"/>
      <c r="D1" s="101"/>
      <c r="E1" s="101"/>
      <c r="F1" s="101"/>
      <c r="G1" s="101"/>
      <c r="H1" s="101"/>
      <c r="I1" s="101"/>
      <c r="J1" s="101"/>
      <c r="K1" s="101"/>
      <c r="L1" s="101"/>
      <c r="M1" s="101"/>
      <c r="N1" s="101"/>
    </row>
    <row r="2" spans="1:14" ht="19.5" customHeight="1" x14ac:dyDescent="0.3">
      <c r="A2" s="101"/>
      <c r="B2" s="101"/>
      <c r="C2" s="101"/>
      <c r="D2" s="101"/>
      <c r="E2" s="101"/>
      <c r="F2" s="101"/>
      <c r="G2" s="101"/>
      <c r="H2" s="101"/>
      <c r="I2" s="101"/>
      <c r="J2" s="101"/>
      <c r="K2" s="101"/>
      <c r="L2" s="101"/>
      <c r="M2" s="101"/>
      <c r="N2" s="101"/>
    </row>
    <row r="3" spans="1:14" ht="15.75" customHeight="1" x14ac:dyDescent="0.3">
      <c r="A3" s="102" t="s">
        <v>68</v>
      </c>
      <c r="B3" s="102"/>
      <c r="C3" s="102"/>
      <c r="D3" s="102"/>
      <c r="E3" s="102"/>
      <c r="F3" s="102"/>
      <c r="G3" s="102"/>
      <c r="H3" s="102"/>
      <c r="I3" s="102"/>
      <c r="J3" s="102"/>
      <c r="K3" s="102"/>
      <c r="L3" s="102"/>
      <c r="M3" s="102"/>
      <c r="N3" s="102"/>
    </row>
    <row r="4" spans="1:14" ht="36" customHeight="1" x14ac:dyDescent="0.3">
      <c r="A4" s="24" t="s">
        <v>69</v>
      </c>
      <c r="B4" s="24" t="s">
        <v>70</v>
      </c>
      <c r="C4" s="24" t="s">
        <v>71</v>
      </c>
      <c r="D4" s="24" t="s">
        <v>72</v>
      </c>
      <c r="E4" s="24" t="s">
        <v>73</v>
      </c>
      <c r="F4" s="24" t="s">
        <v>74</v>
      </c>
      <c r="G4" s="24" t="s">
        <v>75</v>
      </c>
      <c r="H4" s="24" t="s">
        <v>76</v>
      </c>
      <c r="I4" s="24" t="s">
        <v>77</v>
      </c>
      <c r="J4" s="24" t="s">
        <v>78</v>
      </c>
      <c r="K4" s="24" t="s">
        <v>79</v>
      </c>
      <c r="L4" s="24" t="s">
        <v>80</v>
      </c>
      <c r="M4" s="24" t="s">
        <v>81</v>
      </c>
      <c r="N4" s="24" t="s">
        <v>82</v>
      </c>
    </row>
    <row r="5" spans="1:14" ht="19.5" customHeight="1" x14ac:dyDescent="0.3">
      <c r="A5" s="25">
        <v>1</v>
      </c>
      <c r="B5" s="26" t="s">
        <v>83</v>
      </c>
      <c r="C5" s="27" t="s">
        <v>84</v>
      </c>
      <c r="D5" s="28" t="s">
        <v>85</v>
      </c>
      <c r="E5" s="29" t="s">
        <v>86</v>
      </c>
      <c r="F5" s="30" t="s">
        <v>87</v>
      </c>
      <c r="G5" s="31">
        <v>0.6</v>
      </c>
      <c r="H5" s="31">
        <v>1</v>
      </c>
      <c r="I5" s="32" t="s">
        <v>88</v>
      </c>
      <c r="J5" s="4" t="s">
        <v>89</v>
      </c>
      <c r="K5" s="4" t="s">
        <v>90</v>
      </c>
      <c r="L5" s="30" t="s">
        <v>91</v>
      </c>
      <c r="M5" s="4" t="s">
        <v>92</v>
      </c>
      <c r="N5" s="30" t="s">
        <v>93</v>
      </c>
    </row>
    <row r="6" spans="1:14" ht="19.5" customHeight="1" x14ac:dyDescent="0.3">
      <c r="A6" s="25">
        <v>2</v>
      </c>
      <c r="B6" s="26" t="s">
        <v>94</v>
      </c>
      <c r="C6" s="33" t="s">
        <v>94</v>
      </c>
      <c r="D6" s="34" t="s">
        <v>95</v>
      </c>
      <c r="E6" s="35" t="s">
        <v>96</v>
      </c>
      <c r="F6" s="30" t="s">
        <v>97</v>
      </c>
      <c r="G6" s="31">
        <v>1.6</v>
      </c>
      <c r="H6" s="31">
        <v>2</v>
      </c>
      <c r="I6" s="32" t="s">
        <v>88</v>
      </c>
      <c r="J6" s="36" t="s">
        <v>98</v>
      </c>
      <c r="K6" s="36" t="s">
        <v>90</v>
      </c>
      <c r="L6" s="30" t="s">
        <v>91</v>
      </c>
      <c r="M6" s="36" t="s">
        <v>92</v>
      </c>
      <c r="N6" s="30" t="s">
        <v>93</v>
      </c>
    </row>
    <row r="7" spans="1:14" ht="19.5" customHeight="1" x14ac:dyDescent="0.3">
      <c r="A7" s="25">
        <v>3</v>
      </c>
      <c r="B7" s="26" t="s">
        <v>99</v>
      </c>
      <c r="C7" s="27" t="s">
        <v>100</v>
      </c>
      <c r="D7" s="37" t="s">
        <v>101</v>
      </c>
      <c r="E7" s="38" t="s">
        <v>102</v>
      </c>
      <c r="F7" s="30" t="s">
        <v>103</v>
      </c>
      <c r="G7" s="31">
        <v>4.2</v>
      </c>
      <c r="H7" s="31">
        <v>3</v>
      </c>
      <c r="I7" s="32" t="s">
        <v>88</v>
      </c>
      <c r="J7" s="4" t="s">
        <v>104</v>
      </c>
      <c r="K7" s="4" t="s">
        <v>105</v>
      </c>
      <c r="L7" s="30" t="s">
        <v>91</v>
      </c>
      <c r="M7" s="4" t="s">
        <v>92</v>
      </c>
      <c r="N7" s="30" t="s">
        <v>93</v>
      </c>
    </row>
    <row r="8" spans="1:14" ht="19.5" customHeight="1" x14ac:dyDescent="0.3">
      <c r="A8" s="25">
        <v>4</v>
      </c>
      <c r="B8" s="26" t="s">
        <v>106</v>
      </c>
      <c r="C8" s="33" t="s">
        <v>107</v>
      </c>
      <c r="D8" s="39" t="s">
        <v>108</v>
      </c>
      <c r="E8" s="40" t="s">
        <v>109</v>
      </c>
      <c r="F8" s="30" t="s">
        <v>110</v>
      </c>
      <c r="G8" s="31">
        <v>2.4</v>
      </c>
      <c r="H8" s="31">
        <v>4</v>
      </c>
      <c r="I8" s="32" t="s">
        <v>88</v>
      </c>
      <c r="J8" s="36" t="s">
        <v>89</v>
      </c>
      <c r="K8" s="36" t="s">
        <v>111</v>
      </c>
      <c r="L8" s="30" t="s">
        <v>91</v>
      </c>
      <c r="M8" s="36" t="s">
        <v>92</v>
      </c>
      <c r="N8" s="30" t="s">
        <v>93</v>
      </c>
    </row>
    <row r="9" spans="1:14" ht="19.5" customHeight="1" x14ac:dyDescent="0.3">
      <c r="A9" s="25">
        <v>5</v>
      </c>
      <c r="B9" s="26" t="s">
        <v>112</v>
      </c>
      <c r="C9" s="27" t="s">
        <v>113</v>
      </c>
      <c r="D9" s="28" t="s">
        <v>85</v>
      </c>
      <c r="E9" s="29" t="s">
        <v>86</v>
      </c>
      <c r="F9" s="30" t="s">
        <v>87</v>
      </c>
      <c r="G9" s="31">
        <v>0.5</v>
      </c>
      <c r="H9" s="31">
        <v>5</v>
      </c>
      <c r="I9" s="32" t="s">
        <v>88</v>
      </c>
      <c r="J9" s="4" t="s">
        <v>114</v>
      </c>
      <c r="K9" s="4" t="s">
        <v>115</v>
      </c>
      <c r="L9" s="30" t="s">
        <v>91</v>
      </c>
      <c r="M9" s="4" t="s">
        <v>92</v>
      </c>
      <c r="N9" s="30" t="s">
        <v>93</v>
      </c>
    </row>
    <row r="10" spans="1:14" ht="19.5" customHeight="1" x14ac:dyDescent="0.3">
      <c r="A10" s="25">
        <v>6</v>
      </c>
      <c r="B10" s="26" t="s">
        <v>116</v>
      </c>
      <c r="C10" s="33" t="s">
        <v>117</v>
      </c>
      <c r="D10" s="39" t="s">
        <v>108</v>
      </c>
      <c r="E10" s="40" t="s">
        <v>109</v>
      </c>
      <c r="F10" s="30" t="s">
        <v>110</v>
      </c>
      <c r="G10" s="31">
        <v>2.1</v>
      </c>
      <c r="H10" s="31">
        <v>6</v>
      </c>
      <c r="I10" s="32" t="s">
        <v>88</v>
      </c>
      <c r="J10" s="36" t="s">
        <v>118</v>
      </c>
      <c r="K10" s="36" t="s">
        <v>119</v>
      </c>
      <c r="L10" s="30" t="s">
        <v>91</v>
      </c>
      <c r="M10" s="36" t="s">
        <v>92</v>
      </c>
      <c r="N10" s="30" t="s">
        <v>93</v>
      </c>
    </row>
    <row r="11" spans="1:14" ht="19.5" customHeight="1" x14ac:dyDescent="0.3">
      <c r="A11" s="25">
        <v>7</v>
      </c>
      <c r="B11" s="26" t="s">
        <v>120</v>
      </c>
      <c r="C11" s="27" t="s">
        <v>121</v>
      </c>
      <c r="D11" s="37" t="s">
        <v>101</v>
      </c>
      <c r="E11" s="38" t="s">
        <v>102</v>
      </c>
      <c r="F11" s="30" t="s">
        <v>103</v>
      </c>
      <c r="G11" s="31">
        <v>3.5</v>
      </c>
      <c r="H11" s="31">
        <v>7</v>
      </c>
      <c r="I11" s="32" t="s">
        <v>88</v>
      </c>
      <c r="J11" s="4" t="s">
        <v>122</v>
      </c>
      <c r="K11" s="4" t="s">
        <v>123</v>
      </c>
      <c r="L11" s="30" t="s">
        <v>91</v>
      </c>
      <c r="M11" s="4" t="s">
        <v>92</v>
      </c>
      <c r="N11" s="30" t="s">
        <v>93</v>
      </c>
    </row>
    <row r="12" spans="1:14" ht="19.5" customHeight="1" x14ac:dyDescent="0.3">
      <c r="A12" s="25">
        <v>8</v>
      </c>
      <c r="B12" s="26" t="s">
        <v>124</v>
      </c>
      <c r="C12" s="33" t="s">
        <v>125</v>
      </c>
      <c r="D12" s="39" t="s">
        <v>108</v>
      </c>
      <c r="E12" s="40" t="s">
        <v>109</v>
      </c>
      <c r="F12" s="30" t="s">
        <v>110</v>
      </c>
      <c r="G12" s="31">
        <v>1.8</v>
      </c>
      <c r="H12" s="31">
        <v>8</v>
      </c>
      <c r="I12" s="32" t="s">
        <v>88</v>
      </c>
      <c r="J12" s="36" t="s">
        <v>126</v>
      </c>
      <c r="K12" s="36" t="s">
        <v>127</v>
      </c>
      <c r="L12" s="30" t="s">
        <v>91</v>
      </c>
      <c r="M12" s="36" t="s">
        <v>92</v>
      </c>
      <c r="N12" s="30" t="s">
        <v>93</v>
      </c>
    </row>
    <row r="13" spans="1:14" ht="19.5" customHeight="1" x14ac:dyDescent="0.3">
      <c r="A13" s="25">
        <v>9</v>
      </c>
      <c r="B13" s="26" t="s">
        <v>128</v>
      </c>
      <c r="C13" s="27" t="s">
        <v>129</v>
      </c>
      <c r="D13" s="34" t="s">
        <v>95</v>
      </c>
      <c r="E13" s="35" t="s">
        <v>96</v>
      </c>
      <c r="F13" s="30" t="s">
        <v>97</v>
      </c>
      <c r="G13" s="31">
        <v>1.2</v>
      </c>
      <c r="H13" s="31">
        <v>9</v>
      </c>
      <c r="I13" s="32" t="s">
        <v>88</v>
      </c>
      <c r="J13" s="4" t="s">
        <v>114</v>
      </c>
      <c r="K13" s="4" t="s">
        <v>130</v>
      </c>
      <c r="L13" s="30" t="s">
        <v>91</v>
      </c>
      <c r="M13" s="4" t="s">
        <v>92</v>
      </c>
      <c r="N13" s="30" t="s">
        <v>93</v>
      </c>
    </row>
    <row r="14" spans="1:14" ht="19.5" customHeight="1" x14ac:dyDescent="0.3">
      <c r="A14" s="25">
        <v>10</v>
      </c>
      <c r="B14" s="26" t="s">
        <v>131</v>
      </c>
      <c r="C14" s="33" t="s">
        <v>132</v>
      </c>
      <c r="D14" s="39" t="s">
        <v>108</v>
      </c>
      <c r="E14" s="40" t="s">
        <v>109</v>
      </c>
      <c r="F14" s="30" t="s">
        <v>110</v>
      </c>
      <c r="G14" s="31">
        <v>1.5</v>
      </c>
      <c r="H14" s="31">
        <v>10</v>
      </c>
      <c r="I14" s="32" t="s">
        <v>88</v>
      </c>
      <c r="J14" s="36" t="s">
        <v>133</v>
      </c>
      <c r="K14" s="36" t="s">
        <v>119</v>
      </c>
      <c r="L14" s="30" t="s">
        <v>91</v>
      </c>
      <c r="M14" s="36" t="s">
        <v>92</v>
      </c>
      <c r="N14" s="30" t="s">
        <v>93</v>
      </c>
    </row>
    <row r="15" spans="1:14" ht="19.5" customHeight="1" x14ac:dyDescent="0.3">
      <c r="A15" s="25">
        <v>11</v>
      </c>
      <c r="B15" s="26" t="s">
        <v>134</v>
      </c>
      <c r="C15" s="27" t="s">
        <v>135</v>
      </c>
      <c r="D15" s="39" t="s">
        <v>108</v>
      </c>
      <c r="E15" s="40" t="s">
        <v>109</v>
      </c>
      <c r="F15" s="30" t="s">
        <v>110</v>
      </c>
      <c r="G15" s="31">
        <v>1.5</v>
      </c>
      <c r="H15" s="31">
        <v>11</v>
      </c>
      <c r="I15" s="32" t="s">
        <v>88</v>
      </c>
      <c r="J15" s="4" t="s">
        <v>136</v>
      </c>
      <c r="K15" s="4" t="s">
        <v>137</v>
      </c>
      <c r="L15" s="30" t="s">
        <v>91</v>
      </c>
      <c r="M15" s="4" t="s">
        <v>92</v>
      </c>
      <c r="N15" s="30" t="s">
        <v>93</v>
      </c>
    </row>
    <row r="16" spans="1:14" ht="19.5" customHeight="1" x14ac:dyDescent="0.3">
      <c r="A16" s="94">
        <v>12</v>
      </c>
      <c r="B16" s="95" t="s">
        <v>1024</v>
      </c>
      <c r="C16" s="96" t="s">
        <v>1025</v>
      </c>
      <c r="D16" s="39" t="s">
        <v>108</v>
      </c>
      <c r="E16" s="40" t="s">
        <v>109</v>
      </c>
      <c r="F16" s="30" t="s">
        <v>110</v>
      </c>
      <c r="G16" s="31">
        <v>1.5</v>
      </c>
      <c r="H16" s="31">
        <v>11</v>
      </c>
      <c r="I16" s="32" t="s">
        <v>88</v>
      </c>
      <c r="J16" s="4" t="s">
        <v>136</v>
      </c>
      <c r="K16" s="4" t="s">
        <v>1026</v>
      </c>
      <c r="L16" s="30" t="s">
        <v>91</v>
      </c>
      <c r="M16" s="4" t="s">
        <v>92</v>
      </c>
      <c r="N16" s="30" t="s">
        <v>93</v>
      </c>
    </row>
    <row r="17" spans="1:14" ht="21.75" customHeight="1" x14ac:dyDescent="0.3">
      <c r="A17" s="110" t="s">
        <v>138</v>
      </c>
      <c r="B17" s="110"/>
      <c r="C17" s="110"/>
      <c r="D17" s="110"/>
      <c r="E17" s="110"/>
      <c r="F17" s="110"/>
      <c r="G17" s="41">
        <f>COUNTIF(I5:I15,"Y")</f>
        <v>11</v>
      </c>
      <c r="H17" s="111" t="s">
        <v>139</v>
      </c>
      <c r="I17" s="111"/>
      <c r="J17" s="111"/>
      <c r="K17" s="111"/>
      <c r="L17" s="111"/>
      <c r="M17" s="111"/>
      <c r="N17" s="111"/>
    </row>
  </sheetData>
  <mergeCells count="4">
    <mergeCell ref="A1:N2"/>
    <mergeCell ref="A3:N3"/>
    <mergeCell ref="A17:F17"/>
    <mergeCell ref="H17:N1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D6B3A"/>
  </sheetPr>
  <dimension ref="A1:P69"/>
  <sheetViews>
    <sheetView showGridLines="0" tabSelected="1" workbookViewId="0">
      <pane xSplit="2" ySplit="4" topLeftCell="C5" activePane="bottomRight" state="frozen"/>
      <selection pane="topRight" activeCell="C1" sqref="C1"/>
      <selection pane="bottomLeft" activeCell="A5" sqref="A5"/>
      <selection pane="bottomRight" activeCell="G7" sqref="G7"/>
    </sheetView>
  </sheetViews>
  <sheetFormatPr defaultColWidth="8.6640625" defaultRowHeight="14.4" x14ac:dyDescent="0.3"/>
  <cols>
    <col min="1" max="1" width="4" customWidth="1"/>
    <col min="2" max="2" width="18.33203125" customWidth="1"/>
    <col min="3" max="3" width="14" customWidth="1"/>
    <col min="4" max="4" width="8" customWidth="1"/>
    <col min="5" max="5" width="32" customWidth="1"/>
    <col min="6" max="6" width="28" customWidth="1"/>
    <col min="7" max="7" width="52.109375" customWidth="1"/>
    <col min="8" max="8" width="22.5546875" customWidth="1"/>
    <col min="9" max="10" width="30" customWidth="1"/>
    <col min="11" max="11" width="30.44140625" customWidth="1"/>
    <col min="12" max="12" width="24" customWidth="1"/>
    <col min="13" max="14" width="21.109375" customWidth="1"/>
    <col min="15" max="15" width="25.44140625" customWidth="1"/>
    <col min="16" max="16" width="24" customWidth="1"/>
  </cols>
  <sheetData>
    <row r="1" spans="1:16" x14ac:dyDescent="0.3">
      <c r="A1" s="101" t="s">
        <v>140</v>
      </c>
      <c r="B1" s="101"/>
      <c r="C1" s="101"/>
      <c r="D1" s="101"/>
      <c r="E1" s="101"/>
      <c r="F1" s="101"/>
      <c r="G1" s="101"/>
      <c r="H1" s="101"/>
      <c r="I1" s="101"/>
      <c r="J1" s="101"/>
      <c r="K1" s="101"/>
      <c r="L1" s="101"/>
      <c r="M1" s="101"/>
      <c r="N1" s="101"/>
      <c r="O1" s="101"/>
      <c r="P1" s="101"/>
    </row>
    <row r="2" spans="1:16" x14ac:dyDescent="0.3">
      <c r="A2" s="101"/>
      <c r="B2" s="101"/>
      <c r="C2" s="101"/>
      <c r="D2" s="101"/>
      <c r="E2" s="101"/>
      <c r="F2" s="101"/>
      <c r="G2" s="101"/>
      <c r="H2" s="101"/>
      <c r="I2" s="101"/>
      <c r="J2" s="101"/>
      <c r="K2" s="101"/>
      <c r="L2" s="101"/>
      <c r="M2" s="101"/>
      <c r="N2" s="101"/>
      <c r="O2" s="101"/>
      <c r="P2" s="101"/>
    </row>
    <row r="3" spans="1:16" x14ac:dyDescent="0.3">
      <c r="A3" s="102" t="s">
        <v>141</v>
      </c>
      <c r="B3" s="102"/>
      <c r="C3" s="102"/>
      <c r="D3" s="102"/>
      <c r="E3" s="102"/>
      <c r="F3" s="102"/>
      <c r="G3" s="102"/>
      <c r="H3" s="102"/>
      <c r="I3" s="102"/>
      <c r="J3" s="102"/>
      <c r="K3" s="102"/>
      <c r="L3" s="102"/>
      <c r="M3" s="102"/>
      <c r="N3" s="102"/>
      <c r="O3" s="102"/>
      <c r="P3" s="102"/>
    </row>
    <row r="4" spans="1:16" ht="39.75" customHeight="1" x14ac:dyDescent="0.3">
      <c r="A4" s="24" t="s">
        <v>69</v>
      </c>
      <c r="B4" s="24" t="s">
        <v>70</v>
      </c>
      <c r="C4" s="24" t="s">
        <v>142</v>
      </c>
      <c r="D4" s="24" t="s">
        <v>143</v>
      </c>
      <c r="E4" s="24" t="s">
        <v>144</v>
      </c>
      <c r="F4" s="24" t="s">
        <v>145</v>
      </c>
      <c r="G4" s="24" t="s">
        <v>146</v>
      </c>
      <c r="H4" s="24" t="s">
        <v>147</v>
      </c>
      <c r="I4" s="24" t="s">
        <v>148</v>
      </c>
      <c r="J4" s="24" t="s">
        <v>149</v>
      </c>
      <c r="K4" s="24" t="s">
        <v>150</v>
      </c>
      <c r="L4" s="24" t="s">
        <v>151</v>
      </c>
      <c r="M4" s="24" t="s">
        <v>152</v>
      </c>
      <c r="N4" s="24" t="s">
        <v>80</v>
      </c>
      <c r="O4" s="24" t="s">
        <v>153</v>
      </c>
      <c r="P4" s="24" t="s">
        <v>81</v>
      </c>
    </row>
    <row r="5" spans="1:16" ht="21.75" customHeight="1" x14ac:dyDescent="0.3">
      <c r="A5" s="99" t="s">
        <v>154</v>
      </c>
      <c r="B5" s="99"/>
      <c r="C5" s="99"/>
      <c r="D5" s="99"/>
      <c r="E5" s="99"/>
      <c r="F5" s="99"/>
      <c r="G5" s="99"/>
      <c r="H5" s="99"/>
      <c r="I5" s="99"/>
      <c r="J5" s="99"/>
      <c r="K5" s="99"/>
      <c r="L5" s="99"/>
      <c r="M5" s="99"/>
      <c r="N5" s="99"/>
      <c r="O5" s="99"/>
      <c r="P5" s="99"/>
    </row>
    <row r="6" spans="1:16" ht="39.75" customHeight="1" x14ac:dyDescent="0.3">
      <c r="A6" s="25">
        <v>1</v>
      </c>
      <c r="B6" s="42" t="s">
        <v>83</v>
      </c>
      <c r="C6" s="43" t="s">
        <v>155</v>
      </c>
      <c r="D6" s="25">
        <v>1</v>
      </c>
      <c r="E6" s="44" t="s">
        <v>156</v>
      </c>
      <c r="F6" s="45" t="s">
        <v>157</v>
      </c>
      <c r="G6" s="46" t="s">
        <v>1027</v>
      </c>
      <c r="H6" s="47">
        <v>30</v>
      </c>
      <c r="I6" s="48" t="s">
        <v>158</v>
      </c>
      <c r="J6" s="48" t="s">
        <v>159</v>
      </c>
      <c r="K6" s="25" t="s">
        <v>160</v>
      </c>
      <c r="L6" s="25" t="s">
        <v>161</v>
      </c>
      <c r="M6" s="49" t="s">
        <v>88</v>
      </c>
      <c r="N6" s="25" t="s">
        <v>162</v>
      </c>
      <c r="O6" s="50" t="s">
        <v>163</v>
      </c>
      <c r="P6" s="36"/>
    </row>
    <row r="7" spans="1:16" ht="39.75" customHeight="1" x14ac:dyDescent="0.3">
      <c r="A7" s="25">
        <v>2</v>
      </c>
      <c r="B7" s="42" t="s">
        <v>83</v>
      </c>
      <c r="C7" s="43" t="s">
        <v>164</v>
      </c>
      <c r="D7" s="25">
        <v>2</v>
      </c>
      <c r="E7" s="51" t="s">
        <v>165</v>
      </c>
      <c r="F7" s="52" t="s">
        <v>166</v>
      </c>
      <c r="G7" s="53" t="s">
        <v>167</v>
      </c>
      <c r="H7" s="47">
        <v>15</v>
      </c>
      <c r="I7" s="54" t="s">
        <v>168</v>
      </c>
      <c r="J7" s="54" t="s">
        <v>169</v>
      </c>
      <c r="K7" s="25" t="s">
        <v>170</v>
      </c>
      <c r="L7" s="25" t="s">
        <v>171</v>
      </c>
      <c r="M7" s="49" t="s">
        <v>88</v>
      </c>
      <c r="N7" s="25" t="s">
        <v>172</v>
      </c>
      <c r="O7" s="50" t="s">
        <v>163</v>
      </c>
      <c r="P7" s="36"/>
    </row>
    <row r="8" spans="1:16" ht="39.75" customHeight="1" x14ac:dyDescent="0.3">
      <c r="A8" s="25">
        <v>3</v>
      </c>
      <c r="B8" s="42" t="s">
        <v>83</v>
      </c>
      <c r="C8" s="43" t="s">
        <v>173</v>
      </c>
      <c r="D8" s="25">
        <v>3</v>
      </c>
      <c r="E8" s="44" t="s">
        <v>174</v>
      </c>
      <c r="F8" s="45" t="s">
        <v>175</v>
      </c>
      <c r="G8" s="46" t="s">
        <v>176</v>
      </c>
      <c r="H8" s="47">
        <v>30</v>
      </c>
      <c r="I8" s="48" t="s">
        <v>177</v>
      </c>
      <c r="J8" s="48" t="s">
        <v>178</v>
      </c>
      <c r="K8" s="25" t="s">
        <v>179</v>
      </c>
      <c r="L8" s="25" t="s">
        <v>180</v>
      </c>
      <c r="M8" s="49" t="s">
        <v>88</v>
      </c>
      <c r="N8" s="25" t="s">
        <v>172</v>
      </c>
      <c r="O8" s="50" t="s">
        <v>163</v>
      </c>
      <c r="P8" s="36"/>
    </row>
    <row r="9" spans="1:16" ht="39.75" customHeight="1" x14ac:dyDescent="0.3">
      <c r="A9" s="25">
        <v>4</v>
      </c>
      <c r="B9" s="42" t="s">
        <v>83</v>
      </c>
      <c r="C9" s="43" t="s">
        <v>181</v>
      </c>
      <c r="D9" s="25">
        <v>4</v>
      </c>
      <c r="E9" s="51" t="s">
        <v>182</v>
      </c>
      <c r="F9" s="52" t="s">
        <v>183</v>
      </c>
      <c r="G9" s="53" t="s">
        <v>184</v>
      </c>
      <c r="H9" s="47">
        <v>15</v>
      </c>
      <c r="I9" s="54" t="s">
        <v>185</v>
      </c>
      <c r="J9" s="54" t="s">
        <v>186</v>
      </c>
      <c r="K9" s="25" t="s">
        <v>187</v>
      </c>
      <c r="L9" s="25" t="s">
        <v>188</v>
      </c>
      <c r="M9" s="49" t="s">
        <v>88</v>
      </c>
      <c r="N9" s="25" t="s">
        <v>162</v>
      </c>
      <c r="O9" s="50" t="s">
        <v>163</v>
      </c>
      <c r="P9" s="36"/>
    </row>
    <row r="10" spans="1:16" ht="39.75" customHeight="1" x14ac:dyDescent="0.3">
      <c r="A10" s="25">
        <v>5</v>
      </c>
      <c r="B10" s="42" t="s">
        <v>83</v>
      </c>
      <c r="C10" s="43" t="s">
        <v>189</v>
      </c>
      <c r="D10" s="25">
        <v>5</v>
      </c>
      <c r="E10" s="44" t="s">
        <v>190</v>
      </c>
      <c r="F10" s="45" t="s">
        <v>191</v>
      </c>
      <c r="G10" s="46" t="s">
        <v>192</v>
      </c>
      <c r="H10" s="47">
        <v>20</v>
      </c>
      <c r="I10" s="48" t="s">
        <v>193</v>
      </c>
      <c r="J10" s="48" t="s">
        <v>194</v>
      </c>
      <c r="K10" s="25" t="s">
        <v>195</v>
      </c>
      <c r="L10" s="25" t="s">
        <v>196</v>
      </c>
      <c r="M10" s="49" t="s">
        <v>88</v>
      </c>
      <c r="N10" s="25" t="s">
        <v>172</v>
      </c>
      <c r="O10" s="50" t="s">
        <v>163</v>
      </c>
      <c r="P10" s="36"/>
    </row>
    <row r="11" spans="1:16" ht="39.75" customHeight="1" x14ac:dyDescent="0.3">
      <c r="A11" s="25">
        <v>6</v>
      </c>
      <c r="B11" s="42" t="s">
        <v>83</v>
      </c>
      <c r="C11" s="43" t="s">
        <v>197</v>
      </c>
      <c r="D11" s="25">
        <v>6</v>
      </c>
      <c r="E11" s="51" t="s">
        <v>198</v>
      </c>
      <c r="F11" s="52" t="s">
        <v>199</v>
      </c>
      <c r="G11" s="53" t="s">
        <v>200</v>
      </c>
      <c r="H11" s="47">
        <v>15</v>
      </c>
      <c r="I11" s="54" t="s">
        <v>201</v>
      </c>
      <c r="J11" s="54" t="s">
        <v>169</v>
      </c>
      <c r="K11" s="25" t="s">
        <v>202</v>
      </c>
      <c r="L11" s="25" t="s">
        <v>203</v>
      </c>
      <c r="M11" s="49" t="s">
        <v>88</v>
      </c>
      <c r="N11" s="25" t="s">
        <v>172</v>
      </c>
      <c r="O11" s="50" t="s">
        <v>163</v>
      </c>
      <c r="P11" s="36"/>
    </row>
    <row r="12" spans="1:16" ht="21.75" customHeight="1" x14ac:dyDescent="0.3">
      <c r="A12" s="97" t="s">
        <v>204</v>
      </c>
      <c r="B12" s="97"/>
      <c r="C12" s="97"/>
      <c r="D12" s="97"/>
      <c r="E12" s="97"/>
      <c r="F12" s="97"/>
      <c r="G12" s="97"/>
      <c r="H12" s="97"/>
      <c r="I12" s="97"/>
      <c r="J12" s="97"/>
      <c r="K12" s="97"/>
      <c r="L12" s="97"/>
      <c r="M12" s="97"/>
      <c r="N12" s="97"/>
      <c r="O12" s="97"/>
      <c r="P12" s="97"/>
    </row>
    <row r="13" spans="1:16" ht="39.75" customHeight="1" x14ac:dyDescent="0.3">
      <c r="A13" s="25">
        <v>7</v>
      </c>
      <c r="B13" s="55" t="s">
        <v>94</v>
      </c>
      <c r="C13" s="43" t="s">
        <v>205</v>
      </c>
      <c r="D13" s="25">
        <v>1</v>
      </c>
      <c r="E13" s="44" t="s">
        <v>206</v>
      </c>
      <c r="F13" s="45" t="s">
        <v>207</v>
      </c>
      <c r="G13" s="46" t="s">
        <v>208</v>
      </c>
      <c r="H13" s="47">
        <v>20</v>
      </c>
      <c r="I13" s="48" t="s">
        <v>209</v>
      </c>
      <c r="J13" s="48" t="s">
        <v>210</v>
      </c>
      <c r="K13" s="25" t="s">
        <v>211</v>
      </c>
      <c r="L13" s="25" t="s">
        <v>212</v>
      </c>
      <c r="M13" s="49" t="s">
        <v>88</v>
      </c>
      <c r="N13" s="25" t="s">
        <v>162</v>
      </c>
      <c r="O13" s="50" t="s">
        <v>163</v>
      </c>
      <c r="P13" s="36"/>
    </row>
    <row r="14" spans="1:16" ht="39.75" customHeight="1" x14ac:dyDescent="0.3">
      <c r="A14" s="25">
        <v>8</v>
      </c>
      <c r="B14" s="55" t="s">
        <v>94</v>
      </c>
      <c r="C14" s="43" t="s">
        <v>213</v>
      </c>
      <c r="D14" s="25">
        <v>2</v>
      </c>
      <c r="E14" s="56" t="s">
        <v>214</v>
      </c>
      <c r="F14" s="57" t="s">
        <v>215</v>
      </c>
      <c r="G14" s="58" t="s">
        <v>216</v>
      </c>
      <c r="H14" s="47">
        <v>20</v>
      </c>
      <c r="I14" s="59" t="s">
        <v>217</v>
      </c>
      <c r="J14" s="59" t="s">
        <v>218</v>
      </c>
      <c r="K14" s="25" t="s">
        <v>219</v>
      </c>
      <c r="L14" s="25" t="s">
        <v>220</v>
      </c>
      <c r="M14" s="49" t="s">
        <v>88</v>
      </c>
      <c r="N14" s="25" t="s">
        <v>162</v>
      </c>
      <c r="O14" s="50" t="s">
        <v>163</v>
      </c>
      <c r="P14" s="36"/>
    </row>
    <row r="15" spans="1:16" ht="39.75" customHeight="1" x14ac:dyDescent="0.3">
      <c r="A15" s="25">
        <v>9</v>
      </c>
      <c r="B15" s="55" t="s">
        <v>94</v>
      </c>
      <c r="C15" s="43" t="s">
        <v>221</v>
      </c>
      <c r="D15" s="25">
        <v>3</v>
      </c>
      <c r="E15" s="44" t="s">
        <v>222</v>
      </c>
      <c r="F15" s="45" t="s">
        <v>223</v>
      </c>
      <c r="G15" s="46" t="s">
        <v>224</v>
      </c>
      <c r="H15" s="47">
        <v>25</v>
      </c>
      <c r="I15" s="48" t="s">
        <v>225</v>
      </c>
      <c r="J15" s="48" t="s">
        <v>226</v>
      </c>
      <c r="K15" s="25" t="s">
        <v>227</v>
      </c>
      <c r="L15" s="25" t="s">
        <v>228</v>
      </c>
      <c r="M15" s="49" t="s">
        <v>88</v>
      </c>
      <c r="N15" s="25" t="s">
        <v>172</v>
      </c>
      <c r="O15" s="50" t="s">
        <v>163</v>
      </c>
      <c r="P15" s="36"/>
    </row>
    <row r="16" spans="1:16" ht="39.75" customHeight="1" x14ac:dyDescent="0.3">
      <c r="A16" s="25">
        <v>10</v>
      </c>
      <c r="B16" s="55" t="s">
        <v>94</v>
      </c>
      <c r="C16" s="43" t="s">
        <v>229</v>
      </c>
      <c r="D16" s="25">
        <v>4</v>
      </c>
      <c r="E16" s="56" t="s">
        <v>230</v>
      </c>
      <c r="F16" s="57" t="s">
        <v>231</v>
      </c>
      <c r="G16" s="58" t="s">
        <v>232</v>
      </c>
      <c r="H16" s="47">
        <v>45</v>
      </c>
      <c r="I16" s="59" t="s">
        <v>233</v>
      </c>
      <c r="J16" s="59" t="s">
        <v>234</v>
      </c>
      <c r="K16" s="25" t="s">
        <v>235</v>
      </c>
      <c r="L16" s="25" t="s">
        <v>236</v>
      </c>
      <c r="M16" s="49" t="s">
        <v>88</v>
      </c>
      <c r="N16" s="25" t="s">
        <v>162</v>
      </c>
      <c r="O16" s="50" t="s">
        <v>163</v>
      </c>
      <c r="P16" s="36"/>
    </row>
    <row r="17" spans="1:16" ht="39.75" customHeight="1" x14ac:dyDescent="0.3">
      <c r="A17" s="25">
        <v>11</v>
      </c>
      <c r="B17" s="55" t="s">
        <v>94</v>
      </c>
      <c r="C17" s="43" t="s">
        <v>237</v>
      </c>
      <c r="D17" s="25">
        <v>5</v>
      </c>
      <c r="E17" s="44" t="s">
        <v>238</v>
      </c>
      <c r="F17" s="45" t="s">
        <v>239</v>
      </c>
      <c r="G17" s="46" t="s">
        <v>240</v>
      </c>
      <c r="H17" s="47">
        <v>10</v>
      </c>
      <c r="I17" s="48" t="s">
        <v>241</v>
      </c>
      <c r="J17" s="48" t="s">
        <v>169</v>
      </c>
      <c r="K17" s="25" t="s">
        <v>242</v>
      </c>
      <c r="L17" s="25" t="s">
        <v>243</v>
      </c>
      <c r="M17" s="49" t="s">
        <v>88</v>
      </c>
      <c r="N17" s="25" t="s">
        <v>172</v>
      </c>
      <c r="O17" s="50" t="s">
        <v>163</v>
      </c>
      <c r="P17" s="36"/>
    </row>
    <row r="18" spans="1:16" ht="21.75" customHeight="1" x14ac:dyDescent="0.3">
      <c r="A18" s="100" t="s">
        <v>244</v>
      </c>
      <c r="B18" s="100"/>
      <c r="C18" s="100"/>
      <c r="D18" s="100"/>
      <c r="E18" s="100"/>
      <c r="F18" s="100"/>
      <c r="G18" s="100"/>
      <c r="H18" s="100"/>
      <c r="I18" s="100"/>
      <c r="J18" s="100"/>
      <c r="K18" s="100"/>
      <c r="L18" s="100"/>
      <c r="M18" s="100"/>
      <c r="N18" s="100"/>
      <c r="O18" s="100"/>
      <c r="P18" s="100"/>
    </row>
    <row r="19" spans="1:16" ht="39.75" customHeight="1" x14ac:dyDescent="0.3">
      <c r="A19" s="25">
        <v>12</v>
      </c>
      <c r="B19" s="60" t="s">
        <v>99</v>
      </c>
      <c r="C19" s="43" t="s">
        <v>245</v>
      </c>
      <c r="D19" s="25">
        <v>1</v>
      </c>
      <c r="E19" s="61" t="s">
        <v>246</v>
      </c>
      <c r="F19" s="62" t="s">
        <v>247</v>
      </c>
      <c r="G19" s="63" t="s">
        <v>248</v>
      </c>
      <c r="H19" s="47">
        <v>20</v>
      </c>
      <c r="I19" s="64" t="s">
        <v>249</v>
      </c>
      <c r="J19" s="64" t="s">
        <v>250</v>
      </c>
      <c r="K19" s="25" t="s">
        <v>251</v>
      </c>
      <c r="L19" s="25" t="s">
        <v>252</v>
      </c>
      <c r="M19" s="49" t="s">
        <v>88</v>
      </c>
      <c r="N19" s="25" t="s">
        <v>162</v>
      </c>
      <c r="O19" s="50" t="s">
        <v>163</v>
      </c>
      <c r="P19" s="36"/>
    </row>
    <row r="20" spans="1:16" ht="39.75" customHeight="1" x14ac:dyDescent="0.3">
      <c r="A20" s="25">
        <v>13</v>
      </c>
      <c r="B20" s="60" t="s">
        <v>99</v>
      </c>
      <c r="C20" s="43" t="s">
        <v>253</v>
      </c>
      <c r="D20" s="25">
        <v>2</v>
      </c>
      <c r="E20" s="44" t="s">
        <v>254</v>
      </c>
      <c r="F20" s="45" t="s">
        <v>255</v>
      </c>
      <c r="G20" s="46" t="s">
        <v>256</v>
      </c>
      <c r="H20" s="47">
        <v>15</v>
      </c>
      <c r="I20" s="48" t="s">
        <v>257</v>
      </c>
      <c r="J20" s="48" t="s">
        <v>250</v>
      </c>
      <c r="K20" s="25" t="s">
        <v>258</v>
      </c>
      <c r="L20" s="25" t="s">
        <v>259</v>
      </c>
      <c r="M20" s="49" t="s">
        <v>88</v>
      </c>
      <c r="N20" s="25" t="s">
        <v>172</v>
      </c>
      <c r="O20" s="50" t="s">
        <v>163</v>
      </c>
      <c r="P20" s="36"/>
    </row>
    <row r="21" spans="1:16" ht="39.75" customHeight="1" x14ac:dyDescent="0.3">
      <c r="A21" s="25">
        <v>14</v>
      </c>
      <c r="B21" s="60" t="s">
        <v>99</v>
      </c>
      <c r="C21" s="43" t="s">
        <v>260</v>
      </c>
      <c r="D21" s="25">
        <v>3</v>
      </c>
      <c r="E21" s="61" t="s">
        <v>261</v>
      </c>
      <c r="F21" s="62" t="s">
        <v>262</v>
      </c>
      <c r="G21" s="63" t="s">
        <v>263</v>
      </c>
      <c r="H21" s="47">
        <v>60</v>
      </c>
      <c r="I21" s="64" t="s">
        <v>264</v>
      </c>
      <c r="J21" s="64" t="s">
        <v>265</v>
      </c>
      <c r="K21" s="25" t="s">
        <v>266</v>
      </c>
      <c r="L21" s="25" t="s">
        <v>267</v>
      </c>
      <c r="M21" s="49" t="s">
        <v>88</v>
      </c>
      <c r="N21" s="25" t="s">
        <v>162</v>
      </c>
      <c r="O21" s="50" t="s">
        <v>163</v>
      </c>
      <c r="P21" s="36"/>
    </row>
    <row r="22" spans="1:16" ht="39.75" customHeight="1" x14ac:dyDescent="0.3">
      <c r="A22" s="25">
        <v>15</v>
      </c>
      <c r="B22" s="60" t="s">
        <v>99</v>
      </c>
      <c r="C22" s="43" t="s">
        <v>268</v>
      </c>
      <c r="D22" s="25">
        <v>4</v>
      </c>
      <c r="E22" s="44" t="s">
        <v>269</v>
      </c>
      <c r="F22" s="45" t="s">
        <v>270</v>
      </c>
      <c r="G22" s="46" t="s">
        <v>271</v>
      </c>
      <c r="H22" s="47">
        <v>30</v>
      </c>
      <c r="I22" s="48" t="s">
        <v>272</v>
      </c>
      <c r="J22" s="48" t="s">
        <v>273</v>
      </c>
      <c r="K22" s="25" t="s">
        <v>274</v>
      </c>
      <c r="L22" s="25" t="s">
        <v>275</v>
      </c>
      <c r="M22" s="49" t="s">
        <v>88</v>
      </c>
      <c r="N22" s="25" t="s">
        <v>172</v>
      </c>
      <c r="O22" s="50" t="s">
        <v>163</v>
      </c>
      <c r="P22" s="36"/>
    </row>
    <row r="23" spans="1:16" ht="39.75" customHeight="1" x14ac:dyDescent="0.3">
      <c r="A23" s="25">
        <v>16</v>
      </c>
      <c r="B23" s="60" t="s">
        <v>99</v>
      </c>
      <c r="C23" s="43" t="s">
        <v>276</v>
      </c>
      <c r="D23" s="25">
        <v>5</v>
      </c>
      <c r="E23" s="61" t="s">
        <v>277</v>
      </c>
      <c r="F23" s="62" t="s">
        <v>278</v>
      </c>
      <c r="G23" s="63" t="s">
        <v>279</v>
      </c>
      <c r="H23" s="47">
        <v>90</v>
      </c>
      <c r="I23" s="64" t="s">
        <v>280</v>
      </c>
      <c r="J23" s="64" t="s">
        <v>281</v>
      </c>
      <c r="K23" s="25" t="s">
        <v>282</v>
      </c>
      <c r="L23" s="25" t="s">
        <v>283</v>
      </c>
      <c r="M23" s="49" t="s">
        <v>88</v>
      </c>
      <c r="N23" s="25" t="s">
        <v>162</v>
      </c>
      <c r="O23" s="50" t="s">
        <v>163</v>
      </c>
      <c r="P23" s="36"/>
    </row>
    <row r="24" spans="1:16" ht="39.75" customHeight="1" x14ac:dyDescent="0.3">
      <c r="A24" s="25">
        <v>17</v>
      </c>
      <c r="B24" s="60" t="s">
        <v>99</v>
      </c>
      <c r="C24" s="43" t="s">
        <v>284</v>
      </c>
      <c r="D24" s="25">
        <v>6</v>
      </c>
      <c r="E24" s="44" t="s">
        <v>285</v>
      </c>
      <c r="F24" s="45" t="s">
        <v>286</v>
      </c>
      <c r="G24" s="46" t="s">
        <v>287</v>
      </c>
      <c r="H24" s="47">
        <v>10</v>
      </c>
      <c r="I24" s="48" t="s">
        <v>288</v>
      </c>
      <c r="J24" s="48" t="s">
        <v>289</v>
      </c>
      <c r="K24" s="25" t="s">
        <v>290</v>
      </c>
      <c r="L24" s="25" t="s">
        <v>291</v>
      </c>
      <c r="M24" s="49" t="s">
        <v>88</v>
      </c>
      <c r="N24" s="25" t="s">
        <v>172</v>
      </c>
      <c r="O24" s="50" t="s">
        <v>163</v>
      </c>
      <c r="P24" s="36"/>
    </row>
    <row r="25" spans="1:16" ht="21.75" customHeight="1" x14ac:dyDescent="0.3">
      <c r="A25" s="98" t="s">
        <v>292</v>
      </c>
      <c r="B25" s="98"/>
      <c r="C25" s="98"/>
      <c r="D25" s="98"/>
      <c r="E25" s="98"/>
      <c r="F25" s="98"/>
      <c r="G25" s="98"/>
      <c r="H25" s="98"/>
      <c r="I25" s="98"/>
      <c r="J25" s="98"/>
      <c r="K25" s="98"/>
      <c r="L25" s="98"/>
      <c r="M25" s="98"/>
      <c r="N25" s="98"/>
      <c r="O25" s="98"/>
      <c r="P25" s="98"/>
    </row>
    <row r="26" spans="1:16" ht="39.75" customHeight="1" x14ac:dyDescent="0.3">
      <c r="A26" s="25">
        <v>18</v>
      </c>
      <c r="B26" s="65" t="s">
        <v>106</v>
      </c>
      <c r="C26" s="43" t="s">
        <v>293</v>
      </c>
      <c r="D26" s="25">
        <v>1</v>
      </c>
      <c r="E26" s="66" t="s">
        <v>294</v>
      </c>
      <c r="F26" s="67" t="s">
        <v>295</v>
      </c>
      <c r="G26" s="68" t="s">
        <v>296</v>
      </c>
      <c r="H26" s="47">
        <v>30</v>
      </c>
      <c r="I26" s="69" t="s">
        <v>297</v>
      </c>
      <c r="J26" s="69" t="s">
        <v>298</v>
      </c>
      <c r="K26" s="25" t="s">
        <v>299</v>
      </c>
      <c r="L26" s="25" t="s">
        <v>300</v>
      </c>
      <c r="M26" s="49" t="s">
        <v>88</v>
      </c>
      <c r="N26" s="25" t="s">
        <v>172</v>
      </c>
      <c r="O26" s="50" t="s">
        <v>163</v>
      </c>
      <c r="P26" s="36"/>
    </row>
    <row r="27" spans="1:16" ht="39.75" customHeight="1" x14ac:dyDescent="0.3">
      <c r="A27" s="25">
        <v>19</v>
      </c>
      <c r="B27" s="65" t="s">
        <v>106</v>
      </c>
      <c r="C27" s="43" t="s">
        <v>301</v>
      </c>
      <c r="D27" s="25">
        <v>2</v>
      </c>
      <c r="E27" s="44" t="s">
        <v>302</v>
      </c>
      <c r="F27" s="45" t="s">
        <v>303</v>
      </c>
      <c r="G27" s="46" t="s">
        <v>304</v>
      </c>
      <c r="H27" s="47">
        <v>40</v>
      </c>
      <c r="I27" s="48" t="s">
        <v>305</v>
      </c>
      <c r="J27" s="48" t="s">
        <v>306</v>
      </c>
      <c r="K27" s="25" t="s">
        <v>307</v>
      </c>
      <c r="L27" s="25" t="s">
        <v>308</v>
      </c>
      <c r="M27" s="49" t="s">
        <v>88</v>
      </c>
      <c r="N27" s="25" t="s">
        <v>162</v>
      </c>
      <c r="O27" s="50" t="s">
        <v>163</v>
      </c>
      <c r="P27" s="36"/>
    </row>
    <row r="28" spans="1:16" ht="39.75" customHeight="1" x14ac:dyDescent="0.3">
      <c r="A28" s="25">
        <v>20</v>
      </c>
      <c r="B28" s="65" t="s">
        <v>106</v>
      </c>
      <c r="C28" s="43" t="s">
        <v>309</v>
      </c>
      <c r="D28" s="25">
        <v>3</v>
      </c>
      <c r="E28" s="66" t="s">
        <v>310</v>
      </c>
      <c r="F28" s="67" t="s">
        <v>311</v>
      </c>
      <c r="G28" s="68" t="s">
        <v>312</v>
      </c>
      <c r="H28" s="47">
        <v>25</v>
      </c>
      <c r="I28" s="69" t="s">
        <v>313</v>
      </c>
      <c r="J28" s="69" t="s">
        <v>314</v>
      </c>
      <c r="K28" s="25" t="s">
        <v>315</v>
      </c>
      <c r="L28" s="25" t="s">
        <v>316</v>
      </c>
      <c r="M28" s="49" t="s">
        <v>88</v>
      </c>
      <c r="N28" s="25" t="s">
        <v>172</v>
      </c>
      <c r="O28" s="50" t="s">
        <v>163</v>
      </c>
      <c r="P28" s="36"/>
    </row>
    <row r="29" spans="1:16" ht="39.75" customHeight="1" x14ac:dyDescent="0.3">
      <c r="A29" s="25">
        <v>21</v>
      </c>
      <c r="B29" s="65" t="s">
        <v>106</v>
      </c>
      <c r="C29" s="43" t="s">
        <v>317</v>
      </c>
      <c r="D29" s="25">
        <v>4</v>
      </c>
      <c r="E29" s="44" t="s">
        <v>318</v>
      </c>
      <c r="F29" s="45" t="s">
        <v>319</v>
      </c>
      <c r="G29" s="46" t="s">
        <v>320</v>
      </c>
      <c r="H29" s="47">
        <v>30</v>
      </c>
      <c r="I29" s="48" t="s">
        <v>321</v>
      </c>
      <c r="J29" s="48" t="s">
        <v>322</v>
      </c>
      <c r="K29" s="25" t="s">
        <v>323</v>
      </c>
      <c r="L29" s="25" t="s">
        <v>324</v>
      </c>
      <c r="M29" s="49" t="s">
        <v>88</v>
      </c>
      <c r="N29" s="25" t="s">
        <v>162</v>
      </c>
      <c r="O29" s="50" t="s">
        <v>163</v>
      </c>
      <c r="P29" s="36"/>
    </row>
    <row r="30" spans="1:16" ht="39.75" customHeight="1" x14ac:dyDescent="0.3">
      <c r="A30" s="25">
        <v>22</v>
      </c>
      <c r="B30" s="65" t="s">
        <v>106</v>
      </c>
      <c r="C30" s="43" t="s">
        <v>325</v>
      </c>
      <c r="D30" s="25">
        <v>5</v>
      </c>
      <c r="E30" s="66" t="s">
        <v>326</v>
      </c>
      <c r="F30" s="67" t="s">
        <v>327</v>
      </c>
      <c r="G30" s="68" t="s">
        <v>328</v>
      </c>
      <c r="H30" s="47">
        <v>30</v>
      </c>
      <c r="I30" s="69" t="s">
        <v>329</v>
      </c>
      <c r="J30" s="69" t="s">
        <v>306</v>
      </c>
      <c r="K30" s="25" t="s">
        <v>330</v>
      </c>
      <c r="L30" s="25" t="s">
        <v>331</v>
      </c>
      <c r="M30" s="49" t="s">
        <v>88</v>
      </c>
      <c r="N30" s="25" t="s">
        <v>162</v>
      </c>
      <c r="O30" s="50" t="s">
        <v>163</v>
      </c>
      <c r="P30" s="36"/>
    </row>
    <row r="31" spans="1:16" ht="21.75" customHeight="1" x14ac:dyDescent="0.3">
      <c r="A31" s="99" t="s">
        <v>332</v>
      </c>
      <c r="B31" s="99"/>
      <c r="C31" s="99"/>
      <c r="D31" s="99"/>
      <c r="E31" s="99"/>
      <c r="F31" s="99"/>
      <c r="G31" s="99"/>
      <c r="H31" s="99"/>
      <c r="I31" s="99"/>
      <c r="J31" s="99"/>
      <c r="K31" s="99"/>
      <c r="L31" s="99"/>
      <c r="M31" s="99"/>
      <c r="N31" s="99"/>
      <c r="O31" s="99"/>
      <c r="P31" s="99"/>
    </row>
    <row r="32" spans="1:16" ht="39.75" customHeight="1" x14ac:dyDescent="0.3">
      <c r="A32" s="25">
        <v>23</v>
      </c>
      <c r="B32" s="42" t="s">
        <v>112</v>
      </c>
      <c r="C32" s="43" t="s">
        <v>333</v>
      </c>
      <c r="D32" s="25">
        <v>1</v>
      </c>
      <c r="E32" s="44" t="s">
        <v>334</v>
      </c>
      <c r="F32" s="45" t="s">
        <v>335</v>
      </c>
      <c r="G32" s="46" t="s">
        <v>336</v>
      </c>
      <c r="H32" s="47">
        <v>20</v>
      </c>
      <c r="I32" s="48" t="s">
        <v>337</v>
      </c>
      <c r="J32" s="48" t="s">
        <v>169</v>
      </c>
      <c r="K32" s="25" t="s">
        <v>338</v>
      </c>
      <c r="L32" s="25" t="s">
        <v>339</v>
      </c>
      <c r="M32" s="49" t="s">
        <v>88</v>
      </c>
      <c r="N32" s="25" t="s">
        <v>172</v>
      </c>
      <c r="O32" s="50" t="s">
        <v>163</v>
      </c>
      <c r="P32" s="36"/>
    </row>
    <row r="33" spans="1:16" ht="39.75" customHeight="1" x14ac:dyDescent="0.3">
      <c r="A33" s="25">
        <v>24</v>
      </c>
      <c r="B33" s="42" t="s">
        <v>112</v>
      </c>
      <c r="C33" s="43" t="s">
        <v>340</v>
      </c>
      <c r="D33" s="25">
        <v>2</v>
      </c>
      <c r="E33" s="51" t="s">
        <v>341</v>
      </c>
      <c r="F33" s="52" t="s">
        <v>342</v>
      </c>
      <c r="G33" s="53" t="s">
        <v>343</v>
      </c>
      <c r="H33" s="47">
        <v>20</v>
      </c>
      <c r="I33" s="54" t="s">
        <v>344</v>
      </c>
      <c r="J33" s="54" t="s">
        <v>345</v>
      </c>
      <c r="K33" s="25" t="s">
        <v>346</v>
      </c>
      <c r="L33" s="25" t="s">
        <v>347</v>
      </c>
      <c r="M33" s="49" t="s">
        <v>88</v>
      </c>
      <c r="N33" s="25" t="s">
        <v>162</v>
      </c>
      <c r="O33" s="50" t="s">
        <v>163</v>
      </c>
      <c r="P33" s="36"/>
    </row>
    <row r="34" spans="1:16" ht="39.75" customHeight="1" x14ac:dyDescent="0.3">
      <c r="A34" s="25">
        <v>25</v>
      </c>
      <c r="B34" s="42" t="s">
        <v>112</v>
      </c>
      <c r="C34" s="43" t="s">
        <v>348</v>
      </c>
      <c r="D34" s="25">
        <v>3</v>
      </c>
      <c r="E34" s="44" t="s">
        <v>349</v>
      </c>
      <c r="F34" s="45" t="s">
        <v>350</v>
      </c>
      <c r="G34" s="46" t="s">
        <v>351</v>
      </c>
      <c r="H34" s="47">
        <v>15</v>
      </c>
      <c r="I34" s="48" t="s">
        <v>352</v>
      </c>
      <c r="J34" s="48" t="s">
        <v>169</v>
      </c>
      <c r="K34" s="25" t="s">
        <v>353</v>
      </c>
      <c r="L34" s="25" t="s">
        <v>354</v>
      </c>
      <c r="M34" s="49" t="s">
        <v>88</v>
      </c>
      <c r="N34" s="25" t="s">
        <v>162</v>
      </c>
      <c r="O34" s="50" t="s">
        <v>163</v>
      </c>
      <c r="P34" s="36"/>
    </row>
    <row r="35" spans="1:16" ht="39.75" customHeight="1" x14ac:dyDescent="0.3">
      <c r="A35" s="25">
        <v>26</v>
      </c>
      <c r="B35" s="42" t="s">
        <v>112</v>
      </c>
      <c r="C35" s="43" t="s">
        <v>355</v>
      </c>
      <c r="D35" s="25">
        <v>4</v>
      </c>
      <c r="E35" s="51" t="s">
        <v>356</v>
      </c>
      <c r="F35" s="52" t="s">
        <v>357</v>
      </c>
      <c r="G35" s="53" t="s">
        <v>358</v>
      </c>
      <c r="H35" s="47">
        <v>15</v>
      </c>
      <c r="I35" s="54" t="s">
        <v>359</v>
      </c>
      <c r="J35" s="54" t="s">
        <v>360</v>
      </c>
      <c r="K35" s="25" t="s">
        <v>361</v>
      </c>
      <c r="L35" s="25" t="s">
        <v>362</v>
      </c>
      <c r="M35" s="49" t="s">
        <v>88</v>
      </c>
      <c r="N35" s="25" t="s">
        <v>172</v>
      </c>
      <c r="O35" s="50" t="s">
        <v>163</v>
      </c>
      <c r="P35" s="36"/>
    </row>
    <row r="36" spans="1:16" ht="39.75" customHeight="1" x14ac:dyDescent="0.3">
      <c r="A36" s="25">
        <v>27</v>
      </c>
      <c r="B36" s="42" t="s">
        <v>112</v>
      </c>
      <c r="C36" s="43" t="s">
        <v>363</v>
      </c>
      <c r="D36" s="25">
        <v>5</v>
      </c>
      <c r="E36" s="44" t="s">
        <v>364</v>
      </c>
      <c r="F36" s="45" t="s">
        <v>365</v>
      </c>
      <c r="G36" s="46" t="s">
        <v>366</v>
      </c>
      <c r="H36" s="47">
        <v>10</v>
      </c>
      <c r="I36" s="48" t="s">
        <v>367</v>
      </c>
      <c r="J36" s="48" t="s">
        <v>169</v>
      </c>
      <c r="K36" s="25" t="s">
        <v>368</v>
      </c>
      <c r="L36" s="25" t="s">
        <v>369</v>
      </c>
      <c r="M36" s="49" t="s">
        <v>88</v>
      </c>
      <c r="N36" s="25" t="s">
        <v>172</v>
      </c>
      <c r="O36" s="50" t="s">
        <v>163</v>
      </c>
      <c r="P36" s="36"/>
    </row>
    <row r="37" spans="1:16" ht="21.75" customHeight="1" x14ac:dyDescent="0.3">
      <c r="A37" s="98" t="s">
        <v>370</v>
      </c>
      <c r="B37" s="98"/>
      <c r="C37" s="98"/>
      <c r="D37" s="98"/>
      <c r="E37" s="98"/>
      <c r="F37" s="98"/>
      <c r="G37" s="98"/>
      <c r="H37" s="98"/>
      <c r="I37" s="98"/>
      <c r="J37" s="98"/>
      <c r="K37" s="98"/>
      <c r="L37" s="98"/>
      <c r="M37" s="98"/>
      <c r="N37" s="98"/>
      <c r="O37" s="98"/>
      <c r="P37" s="98"/>
    </row>
    <row r="38" spans="1:16" ht="39.75" customHeight="1" x14ac:dyDescent="0.3">
      <c r="A38" s="25">
        <v>28</v>
      </c>
      <c r="B38" s="65" t="s">
        <v>116</v>
      </c>
      <c r="C38" s="43" t="s">
        <v>371</v>
      </c>
      <c r="D38" s="25">
        <v>1</v>
      </c>
      <c r="E38" s="66" t="s">
        <v>372</v>
      </c>
      <c r="F38" s="67" t="s">
        <v>373</v>
      </c>
      <c r="G38" s="68" t="s">
        <v>374</v>
      </c>
      <c r="H38" s="47">
        <v>20</v>
      </c>
      <c r="I38" s="69" t="s">
        <v>375</v>
      </c>
      <c r="J38" s="69" t="s">
        <v>194</v>
      </c>
      <c r="K38" s="25" t="s">
        <v>376</v>
      </c>
      <c r="L38" s="25" t="s">
        <v>377</v>
      </c>
      <c r="M38" s="49" t="s">
        <v>88</v>
      </c>
      <c r="N38" s="25" t="s">
        <v>172</v>
      </c>
      <c r="O38" s="50" t="s">
        <v>163</v>
      </c>
      <c r="P38" s="36"/>
    </row>
    <row r="39" spans="1:16" ht="39.75" customHeight="1" x14ac:dyDescent="0.3">
      <c r="A39" s="25">
        <v>29</v>
      </c>
      <c r="B39" s="65" t="s">
        <v>116</v>
      </c>
      <c r="C39" s="43" t="s">
        <v>378</v>
      </c>
      <c r="D39" s="25">
        <v>2</v>
      </c>
      <c r="E39" s="44" t="s">
        <v>379</v>
      </c>
      <c r="F39" s="45" t="s">
        <v>380</v>
      </c>
      <c r="G39" s="46" t="s">
        <v>381</v>
      </c>
      <c r="H39" s="47">
        <v>30</v>
      </c>
      <c r="I39" s="48" t="s">
        <v>382</v>
      </c>
      <c r="J39" s="48" t="s">
        <v>194</v>
      </c>
      <c r="K39" s="25" t="s">
        <v>383</v>
      </c>
      <c r="L39" s="25" t="s">
        <v>384</v>
      </c>
      <c r="M39" s="49" t="s">
        <v>88</v>
      </c>
      <c r="N39" s="25" t="s">
        <v>162</v>
      </c>
      <c r="O39" s="50" t="s">
        <v>163</v>
      </c>
      <c r="P39" s="36"/>
    </row>
    <row r="40" spans="1:16" ht="39.75" customHeight="1" x14ac:dyDescent="0.3">
      <c r="A40" s="25">
        <v>30</v>
      </c>
      <c r="B40" s="65" t="s">
        <v>116</v>
      </c>
      <c r="C40" s="43" t="s">
        <v>385</v>
      </c>
      <c r="D40" s="25">
        <v>3</v>
      </c>
      <c r="E40" s="66" t="s">
        <v>386</v>
      </c>
      <c r="F40" s="67" t="s">
        <v>387</v>
      </c>
      <c r="G40" s="68" t="s">
        <v>388</v>
      </c>
      <c r="H40" s="47">
        <v>20</v>
      </c>
      <c r="I40" s="69" t="s">
        <v>389</v>
      </c>
      <c r="J40" s="69" t="s">
        <v>159</v>
      </c>
      <c r="K40" s="25" t="s">
        <v>390</v>
      </c>
      <c r="L40" s="25" t="s">
        <v>391</v>
      </c>
      <c r="M40" s="49" t="s">
        <v>88</v>
      </c>
      <c r="N40" s="25" t="s">
        <v>172</v>
      </c>
      <c r="O40" s="50" t="s">
        <v>163</v>
      </c>
      <c r="P40" s="36"/>
    </row>
    <row r="41" spans="1:16" ht="39.75" customHeight="1" x14ac:dyDescent="0.3">
      <c r="A41" s="25">
        <v>31</v>
      </c>
      <c r="B41" s="65" t="s">
        <v>116</v>
      </c>
      <c r="C41" s="43" t="s">
        <v>392</v>
      </c>
      <c r="D41" s="25">
        <v>4</v>
      </c>
      <c r="E41" s="44" t="s">
        <v>393</v>
      </c>
      <c r="F41" s="45" t="s">
        <v>394</v>
      </c>
      <c r="G41" s="46" t="s">
        <v>395</v>
      </c>
      <c r="H41" s="47">
        <v>25</v>
      </c>
      <c r="I41" s="48" t="s">
        <v>396</v>
      </c>
      <c r="J41" s="48" t="s">
        <v>194</v>
      </c>
      <c r="K41" s="25" t="s">
        <v>397</v>
      </c>
      <c r="L41" s="25" t="s">
        <v>398</v>
      </c>
      <c r="M41" s="49" t="s">
        <v>88</v>
      </c>
      <c r="N41" s="25" t="s">
        <v>162</v>
      </c>
      <c r="O41" s="50" t="s">
        <v>163</v>
      </c>
      <c r="P41" s="36"/>
    </row>
    <row r="42" spans="1:16" ht="21.75" customHeight="1" x14ac:dyDescent="0.3">
      <c r="A42" s="100" t="s">
        <v>399</v>
      </c>
      <c r="B42" s="100"/>
      <c r="C42" s="100"/>
      <c r="D42" s="100"/>
      <c r="E42" s="100"/>
      <c r="F42" s="100"/>
      <c r="G42" s="100"/>
      <c r="H42" s="100"/>
      <c r="I42" s="100"/>
      <c r="J42" s="100"/>
      <c r="K42" s="100"/>
      <c r="L42" s="100"/>
      <c r="M42" s="100"/>
      <c r="N42" s="100"/>
      <c r="O42" s="100"/>
      <c r="P42" s="100"/>
    </row>
    <row r="43" spans="1:16" ht="39.75" customHeight="1" x14ac:dyDescent="0.3">
      <c r="A43" s="25">
        <v>32</v>
      </c>
      <c r="B43" s="60" t="s">
        <v>120</v>
      </c>
      <c r="C43" s="43" t="s">
        <v>400</v>
      </c>
      <c r="D43" s="25">
        <v>1</v>
      </c>
      <c r="E43" s="61" t="s">
        <v>401</v>
      </c>
      <c r="F43" s="62" t="s">
        <v>402</v>
      </c>
      <c r="G43" s="63" t="s">
        <v>403</v>
      </c>
      <c r="H43" s="47">
        <v>30</v>
      </c>
      <c r="I43" s="64" t="s">
        <v>404</v>
      </c>
      <c r="J43" s="64" t="s">
        <v>194</v>
      </c>
      <c r="K43" s="25" t="s">
        <v>405</v>
      </c>
      <c r="L43" s="25" t="s">
        <v>406</v>
      </c>
      <c r="M43" s="49" t="s">
        <v>88</v>
      </c>
      <c r="N43" s="25" t="s">
        <v>162</v>
      </c>
      <c r="O43" s="50" t="s">
        <v>163</v>
      </c>
      <c r="P43" s="36"/>
    </row>
    <row r="44" spans="1:16" ht="39.75" customHeight="1" x14ac:dyDescent="0.3">
      <c r="A44" s="25">
        <v>33</v>
      </c>
      <c r="B44" s="60" t="s">
        <v>120</v>
      </c>
      <c r="C44" s="43" t="s">
        <v>407</v>
      </c>
      <c r="D44" s="25">
        <v>2</v>
      </c>
      <c r="E44" s="44" t="s">
        <v>408</v>
      </c>
      <c r="F44" s="45" t="s">
        <v>409</v>
      </c>
      <c r="G44" s="46" t="s">
        <v>410</v>
      </c>
      <c r="H44" s="47">
        <v>20</v>
      </c>
      <c r="I44" s="48" t="s">
        <v>411</v>
      </c>
      <c r="J44" s="48" t="s">
        <v>159</v>
      </c>
      <c r="K44" s="25" t="s">
        <v>412</v>
      </c>
      <c r="L44" s="25" t="s">
        <v>413</v>
      </c>
      <c r="M44" s="49" t="s">
        <v>88</v>
      </c>
      <c r="N44" s="25" t="s">
        <v>414</v>
      </c>
      <c r="O44" s="50" t="s">
        <v>163</v>
      </c>
      <c r="P44" s="36"/>
    </row>
    <row r="45" spans="1:16" ht="39.75" customHeight="1" x14ac:dyDescent="0.3">
      <c r="A45" s="25">
        <v>34</v>
      </c>
      <c r="B45" s="60" t="s">
        <v>120</v>
      </c>
      <c r="C45" s="43" t="s">
        <v>415</v>
      </c>
      <c r="D45" s="25">
        <v>3</v>
      </c>
      <c r="E45" s="61" t="s">
        <v>416</v>
      </c>
      <c r="F45" s="62" t="s">
        <v>417</v>
      </c>
      <c r="G45" s="63" t="s">
        <v>418</v>
      </c>
      <c r="H45" s="47">
        <v>20</v>
      </c>
      <c r="I45" s="64" t="s">
        <v>419</v>
      </c>
      <c r="J45" s="64" t="s">
        <v>194</v>
      </c>
      <c r="K45" s="25" t="s">
        <v>420</v>
      </c>
      <c r="L45" s="25" t="s">
        <v>421</v>
      </c>
      <c r="M45" s="49" t="s">
        <v>88</v>
      </c>
      <c r="N45" s="25" t="s">
        <v>162</v>
      </c>
      <c r="O45" s="50" t="s">
        <v>163</v>
      </c>
      <c r="P45" s="36"/>
    </row>
    <row r="46" spans="1:16" ht="39.75" customHeight="1" x14ac:dyDescent="0.3">
      <c r="A46" s="25">
        <v>35</v>
      </c>
      <c r="B46" s="60" t="s">
        <v>120</v>
      </c>
      <c r="C46" s="43" t="s">
        <v>422</v>
      </c>
      <c r="D46" s="25">
        <v>4</v>
      </c>
      <c r="E46" s="44" t="s">
        <v>423</v>
      </c>
      <c r="F46" s="45" t="s">
        <v>424</v>
      </c>
      <c r="G46" s="46" t="s">
        <v>425</v>
      </c>
      <c r="H46" s="47">
        <v>15</v>
      </c>
      <c r="I46" s="48" t="s">
        <v>426</v>
      </c>
      <c r="J46" s="48" t="s">
        <v>169</v>
      </c>
      <c r="K46" s="25" t="s">
        <v>427</v>
      </c>
      <c r="L46" s="25" t="s">
        <v>428</v>
      </c>
      <c r="M46" s="49" t="s">
        <v>88</v>
      </c>
      <c r="N46" s="25" t="s">
        <v>172</v>
      </c>
      <c r="O46" s="50" t="s">
        <v>163</v>
      </c>
      <c r="P46" s="36"/>
    </row>
    <row r="47" spans="1:16" ht="39.75" customHeight="1" x14ac:dyDescent="0.3">
      <c r="A47" s="25">
        <v>36</v>
      </c>
      <c r="B47" s="60" t="s">
        <v>120</v>
      </c>
      <c r="C47" s="43" t="s">
        <v>429</v>
      </c>
      <c r="D47" s="25">
        <v>5</v>
      </c>
      <c r="E47" s="61" t="s">
        <v>430</v>
      </c>
      <c r="F47" s="62" t="s">
        <v>431</v>
      </c>
      <c r="G47" s="63" t="s">
        <v>432</v>
      </c>
      <c r="H47" s="47">
        <v>20</v>
      </c>
      <c r="I47" s="64" t="s">
        <v>433</v>
      </c>
      <c r="J47" s="64" t="s">
        <v>194</v>
      </c>
      <c r="K47" s="25" t="s">
        <v>434</v>
      </c>
      <c r="L47" s="25" t="s">
        <v>435</v>
      </c>
      <c r="M47" s="49" t="s">
        <v>88</v>
      </c>
      <c r="N47" s="25" t="s">
        <v>162</v>
      </c>
      <c r="O47" s="50" t="s">
        <v>163</v>
      </c>
      <c r="P47" s="36"/>
    </row>
    <row r="48" spans="1:16" ht="39.75" customHeight="1" x14ac:dyDescent="0.3">
      <c r="A48" s="25">
        <v>37</v>
      </c>
      <c r="B48" s="60" t="s">
        <v>120</v>
      </c>
      <c r="C48" s="43" t="s">
        <v>436</v>
      </c>
      <c r="D48" s="25">
        <v>6</v>
      </c>
      <c r="E48" s="44" t="s">
        <v>437</v>
      </c>
      <c r="F48" s="45" t="s">
        <v>438</v>
      </c>
      <c r="G48" s="46" t="s">
        <v>439</v>
      </c>
      <c r="H48" s="47">
        <v>20</v>
      </c>
      <c r="I48" s="48" t="s">
        <v>440</v>
      </c>
      <c r="J48" s="48" t="s">
        <v>169</v>
      </c>
      <c r="K48" s="25" t="s">
        <v>441</v>
      </c>
      <c r="L48" s="25" t="s">
        <v>442</v>
      </c>
      <c r="M48" s="49" t="s">
        <v>88</v>
      </c>
      <c r="N48" s="25" t="s">
        <v>172</v>
      </c>
      <c r="O48" s="50" t="s">
        <v>163</v>
      </c>
      <c r="P48" s="36"/>
    </row>
    <row r="49" spans="1:16" ht="21.75" customHeight="1" x14ac:dyDescent="0.3">
      <c r="A49" s="98" t="s">
        <v>443</v>
      </c>
      <c r="B49" s="98"/>
      <c r="C49" s="98"/>
      <c r="D49" s="98"/>
      <c r="E49" s="98"/>
      <c r="F49" s="98"/>
      <c r="G49" s="98"/>
      <c r="H49" s="98"/>
      <c r="I49" s="98"/>
      <c r="J49" s="98"/>
      <c r="K49" s="98"/>
      <c r="L49" s="98"/>
      <c r="M49" s="98"/>
      <c r="N49" s="98"/>
      <c r="O49" s="98"/>
      <c r="P49" s="98"/>
    </row>
    <row r="50" spans="1:16" ht="39.75" customHeight="1" x14ac:dyDescent="0.3">
      <c r="A50" s="25">
        <v>38</v>
      </c>
      <c r="B50" s="65" t="s">
        <v>124</v>
      </c>
      <c r="C50" s="43" t="s">
        <v>444</v>
      </c>
      <c r="D50" s="25">
        <v>1</v>
      </c>
      <c r="E50" s="66" t="s">
        <v>445</v>
      </c>
      <c r="F50" s="67" t="s">
        <v>446</v>
      </c>
      <c r="G50" s="68" t="s">
        <v>447</v>
      </c>
      <c r="H50" s="47">
        <v>20</v>
      </c>
      <c r="I50" s="69" t="s">
        <v>448</v>
      </c>
      <c r="J50" s="69" t="s">
        <v>194</v>
      </c>
      <c r="K50" s="25" t="s">
        <v>449</v>
      </c>
      <c r="L50" s="25" t="s">
        <v>450</v>
      </c>
      <c r="M50" s="49" t="s">
        <v>88</v>
      </c>
      <c r="N50" s="25" t="s">
        <v>172</v>
      </c>
      <c r="O50" s="50" t="s">
        <v>163</v>
      </c>
      <c r="P50" s="36"/>
    </row>
    <row r="51" spans="1:16" ht="39.75" customHeight="1" x14ac:dyDescent="0.3">
      <c r="A51" s="25">
        <v>39</v>
      </c>
      <c r="B51" s="65" t="s">
        <v>124</v>
      </c>
      <c r="C51" s="43" t="s">
        <v>451</v>
      </c>
      <c r="D51" s="25">
        <v>2</v>
      </c>
      <c r="E51" s="44" t="s">
        <v>452</v>
      </c>
      <c r="F51" s="45" t="s">
        <v>453</v>
      </c>
      <c r="G51" s="46" t="s">
        <v>454</v>
      </c>
      <c r="H51" s="47">
        <v>40</v>
      </c>
      <c r="I51" s="48" t="s">
        <v>455</v>
      </c>
      <c r="J51" s="48" t="s">
        <v>345</v>
      </c>
      <c r="K51" s="25" t="s">
        <v>456</v>
      </c>
      <c r="L51" s="25" t="s">
        <v>457</v>
      </c>
      <c r="M51" s="49" t="s">
        <v>88</v>
      </c>
      <c r="N51" s="25" t="s">
        <v>162</v>
      </c>
      <c r="O51" s="50" t="s">
        <v>163</v>
      </c>
      <c r="P51" s="36"/>
    </row>
    <row r="52" spans="1:16" ht="39.75" customHeight="1" x14ac:dyDescent="0.3">
      <c r="A52" s="25">
        <v>40</v>
      </c>
      <c r="B52" s="65" t="s">
        <v>124</v>
      </c>
      <c r="C52" s="43" t="s">
        <v>458</v>
      </c>
      <c r="D52" s="25">
        <v>3</v>
      </c>
      <c r="E52" s="66" t="s">
        <v>459</v>
      </c>
      <c r="F52" s="67" t="s">
        <v>460</v>
      </c>
      <c r="G52" s="68" t="s">
        <v>461</v>
      </c>
      <c r="H52" s="47">
        <v>15</v>
      </c>
      <c r="I52" s="69" t="s">
        <v>462</v>
      </c>
      <c r="J52" s="69" t="s">
        <v>194</v>
      </c>
      <c r="K52" s="25" t="s">
        <v>463</v>
      </c>
      <c r="L52" s="25" t="s">
        <v>464</v>
      </c>
      <c r="M52" s="49" t="s">
        <v>88</v>
      </c>
      <c r="N52" s="25" t="s">
        <v>172</v>
      </c>
      <c r="O52" s="50" t="s">
        <v>163</v>
      </c>
      <c r="P52" s="36"/>
    </row>
    <row r="53" spans="1:16" ht="39.75" customHeight="1" x14ac:dyDescent="0.3">
      <c r="A53" s="25">
        <v>41</v>
      </c>
      <c r="B53" s="65" t="s">
        <v>124</v>
      </c>
      <c r="C53" s="43" t="s">
        <v>465</v>
      </c>
      <c r="D53" s="25">
        <v>4</v>
      </c>
      <c r="E53" s="44" t="s">
        <v>466</v>
      </c>
      <c r="F53" s="45" t="s">
        <v>357</v>
      </c>
      <c r="G53" s="46" t="s">
        <v>467</v>
      </c>
      <c r="H53" s="47">
        <v>20</v>
      </c>
      <c r="I53" s="48" t="s">
        <v>468</v>
      </c>
      <c r="J53" s="48" t="s">
        <v>360</v>
      </c>
      <c r="K53" s="25" t="s">
        <v>469</v>
      </c>
      <c r="L53" s="25" t="s">
        <v>470</v>
      </c>
      <c r="M53" s="49" t="s">
        <v>88</v>
      </c>
      <c r="N53" s="25" t="s">
        <v>172</v>
      </c>
      <c r="O53" s="50" t="s">
        <v>163</v>
      </c>
      <c r="P53" s="36"/>
    </row>
    <row r="54" spans="1:16" ht="21.75" customHeight="1" x14ac:dyDescent="0.3">
      <c r="A54" s="97" t="s">
        <v>471</v>
      </c>
      <c r="B54" s="97"/>
      <c r="C54" s="97"/>
      <c r="D54" s="97"/>
      <c r="E54" s="97"/>
      <c r="F54" s="97"/>
      <c r="G54" s="97"/>
      <c r="H54" s="97"/>
      <c r="I54" s="97"/>
      <c r="J54" s="97"/>
      <c r="K54" s="97"/>
      <c r="L54" s="97"/>
      <c r="M54" s="97"/>
      <c r="N54" s="97"/>
      <c r="O54" s="97"/>
      <c r="P54" s="97"/>
    </row>
    <row r="55" spans="1:16" ht="39.75" customHeight="1" x14ac:dyDescent="0.3">
      <c r="A55" s="25">
        <v>42</v>
      </c>
      <c r="B55" s="55" t="s">
        <v>128</v>
      </c>
      <c r="C55" s="43" t="s">
        <v>472</v>
      </c>
      <c r="D55" s="25">
        <v>1</v>
      </c>
      <c r="E55" s="56" t="s">
        <v>473</v>
      </c>
      <c r="F55" s="57" t="s">
        <v>474</v>
      </c>
      <c r="G55" s="58" t="s">
        <v>475</v>
      </c>
      <c r="H55" s="47">
        <v>40</v>
      </c>
      <c r="I55" s="59" t="s">
        <v>476</v>
      </c>
      <c r="J55" s="59" t="s">
        <v>345</v>
      </c>
      <c r="K55" s="25" t="s">
        <v>477</v>
      </c>
      <c r="L55" s="25" t="s">
        <v>478</v>
      </c>
      <c r="M55" s="49" t="s">
        <v>88</v>
      </c>
      <c r="N55" s="25" t="s">
        <v>162</v>
      </c>
      <c r="O55" s="50" t="s">
        <v>163</v>
      </c>
      <c r="P55" s="36"/>
    </row>
    <row r="56" spans="1:16" ht="39.75" customHeight="1" x14ac:dyDescent="0.3">
      <c r="A56" s="25">
        <v>43</v>
      </c>
      <c r="B56" s="55" t="s">
        <v>128</v>
      </c>
      <c r="C56" s="43" t="s">
        <v>479</v>
      </c>
      <c r="D56" s="25">
        <v>2</v>
      </c>
      <c r="E56" s="44" t="s">
        <v>480</v>
      </c>
      <c r="F56" s="45" t="s">
        <v>481</v>
      </c>
      <c r="G56" s="46" t="s">
        <v>482</v>
      </c>
      <c r="H56" s="47">
        <v>25</v>
      </c>
      <c r="I56" s="48" t="s">
        <v>483</v>
      </c>
      <c r="J56" s="48" t="s">
        <v>194</v>
      </c>
      <c r="K56" s="25" t="s">
        <v>484</v>
      </c>
      <c r="L56" s="25" t="s">
        <v>485</v>
      </c>
      <c r="M56" s="49" t="s">
        <v>88</v>
      </c>
      <c r="N56" s="25" t="s">
        <v>162</v>
      </c>
      <c r="O56" s="50" t="s">
        <v>163</v>
      </c>
      <c r="P56" s="36"/>
    </row>
    <row r="57" spans="1:16" ht="39.75" customHeight="1" x14ac:dyDescent="0.3">
      <c r="A57" s="25">
        <v>44</v>
      </c>
      <c r="B57" s="55" t="s">
        <v>128</v>
      </c>
      <c r="C57" s="43" t="s">
        <v>486</v>
      </c>
      <c r="D57" s="25">
        <v>3</v>
      </c>
      <c r="E57" s="56" t="s">
        <v>487</v>
      </c>
      <c r="F57" s="57" t="s">
        <v>488</v>
      </c>
      <c r="G57" s="58" t="s">
        <v>489</v>
      </c>
      <c r="H57" s="47">
        <v>30</v>
      </c>
      <c r="I57" s="59" t="s">
        <v>490</v>
      </c>
      <c r="J57" s="59" t="s">
        <v>491</v>
      </c>
      <c r="K57" s="25" t="s">
        <v>492</v>
      </c>
      <c r="L57" s="25" t="s">
        <v>493</v>
      </c>
      <c r="M57" s="49" t="s">
        <v>88</v>
      </c>
      <c r="N57" s="25" t="s">
        <v>172</v>
      </c>
      <c r="O57" s="50" t="s">
        <v>163</v>
      </c>
      <c r="P57" s="36"/>
    </row>
    <row r="58" spans="1:16" ht="39.75" customHeight="1" x14ac:dyDescent="0.3">
      <c r="A58" s="25">
        <v>45</v>
      </c>
      <c r="B58" s="55" t="s">
        <v>128</v>
      </c>
      <c r="C58" s="43" t="s">
        <v>494</v>
      </c>
      <c r="D58" s="25">
        <v>4</v>
      </c>
      <c r="E58" s="44" t="s">
        <v>495</v>
      </c>
      <c r="F58" s="45" t="s">
        <v>496</v>
      </c>
      <c r="G58" s="46" t="s">
        <v>497</v>
      </c>
      <c r="H58" s="47">
        <v>35</v>
      </c>
      <c r="I58" s="48" t="s">
        <v>498</v>
      </c>
      <c r="J58" s="48" t="s">
        <v>345</v>
      </c>
      <c r="K58" s="25" t="s">
        <v>499</v>
      </c>
      <c r="L58" s="25" t="s">
        <v>500</v>
      </c>
      <c r="M58" s="49" t="s">
        <v>88</v>
      </c>
      <c r="N58" s="25" t="s">
        <v>162</v>
      </c>
      <c r="O58" s="50" t="s">
        <v>163</v>
      </c>
      <c r="P58" s="36"/>
    </row>
    <row r="59" spans="1:16" ht="39.75" customHeight="1" x14ac:dyDescent="0.3">
      <c r="A59" s="25">
        <v>46</v>
      </c>
      <c r="B59" s="55" t="s">
        <v>128</v>
      </c>
      <c r="C59" s="43" t="s">
        <v>501</v>
      </c>
      <c r="D59" s="25">
        <v>5</v>
      </c>
      <c r="E59" s="56" t="s">
        <v>502</v>
      </c>
      <c r="F59" s="57" t="s">
        <v>503</v>
      </c>
      <c r="G59" s="58" t="s">
        <v>504</v>
      </c>
      <c r="H59" s="47">
        <v>15</v>
      </c>
      <c r="I59" s="59" t="s">
        <v>505</v>
      </c>
      <c r="J59" s="59" t="s">
        <v>194</v>
      </c>
      <c r="K59" s="25" t="s">
        <v>506</v>
      </c>
      <c r="L59" s="25" t="s">
        <v>507</v>
      </c>
      <c r="M59" s="49" t="s">
        <v>88</v>
      </c>
      <c r="N59" s="25" t="s">
        <v>162</v>
      </c>
      <c r="O59" s="50" t="s">
        <v>163</v>
      </c>
      <c r="P59" s="36"/>
    </row>
    <row r="60" spans="1:16" ht="21.75" customHeight="1" x14ac:dyDescent="0.3">
      <c r="A60" s="98" t="s">
        <v>508</v>
      </c>
      <c r="B60" s="98"/>
      <c r="C60" s="98"/>
      <c r="D60" s="98"/>
      <c r="E60" s="98"/>
      <c r="F60" s="98"/>
      <c r="G60" s="98"/>
      <c r="H60" s="98"/>
      <c r="I60" s="98"/>
      <c r="J60" s="98"/>
      <c r="K60" s="98"/>
      <c r="L60" s="98"/>
      <c r="M60" s="98"/>
      <c r="N60" s="98"/>
      <c r="O60" s="98"/>
      <c r="P60" s="98"/>
    </row>
    <row r="61" spans="1:16" ht="39.75" customHeight="1" x14ac:dyDescent="0.3">
      <c r="A61" s="25">
        <v>47</v>
      </c>
      <c r="B61" s="65" t="s">
        <v>131</v>
      </c>
      <c r="C61" s="43" t="s">
        <v>509</v>
      </c>
      <c r="D61" s="25">
        <v>1</v>
      </c>
      <c r="E61" s="44" t="s">
        <v>510</v>
      </c>
      <c r="F61" s="45" t="s">
        <v>511</v>
      </c>
      <c r="G61" s="46" t="s">
        <v>512</v>
      </c>
      <c r="H61" s="47">
        <v>35</v>
      </c>
      <c r="I61" s="48" t="s">
        <v>513</v>
      </c>
      <c r="J61" s="48" t="s">
        <v>360</v>
      </c>
      <c r="K61" s="25" t="s">
        <v>514</v>
      </c>
      <c r="L61" s="25" t="s">
        <v>515</v>
      </c>
      <c r="M61" s="49" t="s">
        <v>88</v>
      </c>
      <c r="N61" s="25" t="s">
        <v>162</v>
      </c>
      <c r="O61" s="50" t="s">
        <v>163</v>
      </c>
      <c r="P61" s="36"/>
    </row>
    <row r="62" spans="1:16" ht="39.75" customHeight="1" x14ac:dyDescent="0.3">
      <c r="A62" s="25">
        <v>48</v>
      </c>
      <c r="B62" s="65" t="s">
        <v>131</v>
      </c>
      <c r="C62" s="43" t="s">
        <v>516</v>
      </c>
      <c r="D62" s="25">
        <v>2</v>
      </c>
      <c r="E62" s="66" t="s">
        <v>517</v>
      </c>
      <c r="F62" s="67" t="s">
        <v>518</v>
      </c>
      <c r="G62" s="68" t="s">
        <v>519</v>
      </c>
      <c r="H62" s="47">
        <v>30</v>
      </c>
      <c r="I62" s="69" t="s">
        <v>520</v>
      </c>
      <c r="J62" s="69" t="s">
        <v>194</v>
      </c>
      <c r="K62" s="25" t="s">
        <v>521</v>
      </c>
      <c r="L62" s="25" t="s">
        <v>522</v>
      </c>
      <c r="M62" s="49" t="s">
        <v>88</v>
      </c>
      <c r="N62" s="25" t="s">
        <v>162</v>
      </c>
      <c r="O62" s="50" t="s">
        <v>163</v>
      </c>
      <c r="P62" s="36"/>
    </row>
    <row r="63" spans="1:16" ht="39.75" customHeight="1" x14ac:dyDescent="0.3">
      <c r="A63" s="25">
        <v>49</v>
      </c>
      <c r="B63" s="65" t="s">
        <v>131</v>
      </c>
      <c r="C63" s="43" t="s">
        <v>523</v>
      </c>
      <c r="D63" s="25">
        <v>3</v>
      </c>
      <c r="E63" s="44" t="s">
        <v>524</v>
      </c>
      <c r="F63" s="45" t="s">
        <v>525</v>
      </c>
      <c r="G63" s="46" t="s">
        <v>526</v>
      </c>
      <c r="H63" s="47">
        <v>20</v>
      </c>
      <c r="I63" s="48" t="s">
        <v>527</v>
      </c>
      <c r="J63" s="48" t="s">
        <v>194</v>
      </c>
      <c r="K63" s="25" t="s">
        <v>528</v>
      </c>
      <c r="L63" s="25" t="s">
        <v>529</v>
      </c>
      <c r="M63" s="49" t="s">
        <v>88</v>
      </c>
      <c r="N63" s="25" t="s">
        <v>162</v>
      </c>
      <c r="O63" s="50" t="s">
        <v>163</v>
      </c>
      <c r="P63" s="36"/>
    </row>
    <row r="64" spans="1:16" ht="39.75" customHeight="1" x14ac:dyDescent="0.3">
      <c r="A64" s="25">
        <v>50</v>
      </c>
      <c r="B64" s="65" t="s">
        <v>131</v>
      </c>
      <c r="C64" s="43" t="s">
        <v>530</v>
      </c>
      <c r="D64" s="25">
        <v>4</v>
      </c>
      <c r="E64" s="66" t="s">
        <v>531</v>
      </c>
      <c r="F64" s="67" t="s">
        <v>532</v>
      </c>
      <c r="G64" s="68" t="s">
        <v>533</v>
      </c>
      <c r="H64" s="47">
        <v>20</v>
      </c>
      <c r="I64" s="69" t="s">
        <v>534</v>
      </c>
      <c r="J64" s="69" t="s">
        <v>159</v>
      </c>
      <c r="K64" s="25" t="s">
        <v>535</v>
      </c>
      <c r="L64" s="25" t="s">
        <v>536</v>
      </c>
      <c r="M64" s="49" t="s">
        <v>88</v>
      </c>
      <c r="N64" s="25" t="s">
        <v>172</v>
      </c>
      <c r="O64" s="50" t="s">
        <v>163</v>
      </c>
      <c r="P64" s="36"/>
    </row>
    <row r="65" spans="1:16" ht="21.75" customHeight="1" x14ac:dyDescent="0.3">
      <c r="A65" s="98" t="s">
        <v>537</v>
      </c>
      <c r="B65" s="98"/>
      <c r="C65" s="98"/>
      <c r="D65" s="98"/>
      <c r="E65" s="98"/>
      <c r="F65" s="98"/>
      <c r="G65" s="98"/>
      <c r="H65" s="98"/>
      <c r="I65" s="98"/>
      <c r="J65" s="98"/>
      <c r="K65" s="98"/>
      <c r="L65" s="98"/>
      <c r="M65" s="98"/>
      <c r="N65" s="98"/>
      <c r="O65" s="98"/>
      <c r="P65" s="98"/>
    </row>
    <row r="66" spans="1:16" ht="39.75" customHeight="1" x14ac:dyDescent="0.3">
      <c r="A66" s="25">
        <v>51</v>
      </c>
      <c r="B66" s="65" t="s">
        <v>134</v>
      </c>
      <c r="C66" s="43" t="s">
        <v>538</v>
      </c>
      <c r="D66" s="25">
        <v>1</v>
      </c>
      <c r="E66" s="44" t="s">
        <v>539</v>
      </c>
      <c r="F66" s="45" t="s">
        <v>540</v>
      </c>
      <c r="G66" s="46" t="s">
        <v>541</v>
      </c>
      <c r="H66" s="47">
        <v>30</v>
      </c>
      <c r="I66" s="48" t="s">
        <v>542</v>
      </c>
      <c r="J66" s="48" t="s">
        <v>543</v>
      </c>
      <c r="K66" s="25" t="s">
        <v>544</v>
      </c>
      <c r="L66" s="25" t="s">
        <v>545</v>
      </c>
      <c r="M66" s="49" t="s">
        <v>88</v>
      </c>
      <c r="N66" s="25" t="s">
        <v>162</v>
      </c>
      <c r="O66" s="50" t="s">
        <v>163</v>
      </c>
      <c r="P66" s="36"/>
    </row>
    <row r="67" spans="1:16" ht="39.75" customHeight="1" x14ac:dyDescent="0.3">
      <c r="A67" s="25">
        <v>52</v>
      </c>
      <c r="B67" s="65" t="s">
        <v>134</v>
      </c>
      <c r="C67" s="43" t="s">
        <v>546</v>
      </c>
      <c r="D67" s="25">
        <v>2</v>
      </c>
      <c r="E67" s="66" t="s">
        <v>547</v>
      </c>
      <c r="F67" s="67" t="s">
        <v>548</v>
      </c>
      <c r="G67" s="68" t="s">
        <v>549</v>
      </c>
      <c r="H67" s="47">
        <v>25</v>
      </c>
      <c r="I67" s="69" t="s">
        <v>550</v>
      </c>
      <c r="J67" s="69" t="s">
        <v>289</v>
      </c>
      <c r="K67" s="25" t="s">
        <v>551</v>
      </c>
      <c r="L67" s="25" t="s">
        <v>552</v>
      </c>
      <c r="M67" s="49" t="s">
        <v>88</v>
      </c>
      <c r="N67" s="25" t="s">
        <v>162</v>
      </c>
      <c r="O67" s="50" t="s">
        <v>163</v>
      </c>
      <c r="P67" s="36"/>
    </row>
    <row r="68" spans="1:16" ht="39.75" customHeight="1" x14ac:dyDescent="0.3">
      <c r="A68" s="25">
        <v>53</v>
      </c>
      <c r="B68" s="65" t="s">
        <v>134</v>
      </c>
      <c r="C68" s="43" t="s">
        <v>553</v>
      </c>
      <c r="D68" s="25">
        <v>3</v>
      </c>
      <c r="E68" s="44" t="s">
        <v>554</v>
      </c>
      <c r="F68" s="45" t="s">
        <v>555</v>
      </c>
      <c r="G68" s="46" t="s">
        <v>556</v>
      </c>
      <c r="H68" s="47">
        <v>30</v>
      </c>
      <c r="I68" s="48" t="s">
        <v>557</v>
      </c>
      <c r="J68" s="48" t="s">
        <v>289</v>
      </c>
      <c r="K68" s="25" t="s">
        <v>558</v>
      </c>
      <c r="L68" s="25" t="s">
        <v>559</v>
      </c>
      <c r="M68" s="49" t="s">
        <v>88</v>
      </c>
      <c r="N68" s="25" t="s">
        <v>162</v>
      </c>
      <c r="O68" s="50" t="s">
        <v>163</v>
      </c>
      <c r="P68" s="36"/>
    </row>
    <row r="69" spans="1:16" ht="39.75" customHeight="1" x14ac:dyDescent="0.3">
      <c r="A69" s="25">
        <v>54</v>
      </c>
      <c r="B69" s="65" t="s">
        <v>134</v>
      </c>
      <c r="C69" s="43" t="s">
        <v>560</v>
      </c>
      <c r="D69" s="25">
        <v>4</v>
      </c>
      <c r="E69" s="66" t="s">
        <v>561</v>
      </c>
      <c r="F69" s="67" t="s">
        <v>562</v>
      </c>
      <c r="G69" s="68" t="s">
        <v>563</v>
      </c>
      <c r="H69" s="47">
        <v>20</v>
      </c>
      <c r="I69" s="69" t="s">
        <v>564</v>
      </c>
      <c r="J69" s="69" t="s">
        <v>289</v>
      </c>
      <c r="K69" s="25" t="s">
        <v>565</v>
      </c>
      <c r="L69" s="25" t="s">
        <v>566</v>
      </c>
      <c r="M69" s="49" t="s">
        <v>88</v>
      </c>
      <c r="N69" s="25" t="s">
        <v>172</v>
      </c>
      <c r="O69" s="50" t="s">
        <v>163</v>
      </c>
      <c r="P69" s="36"/>
    </row>
  </sheetData>
  <mergeCells count="13">
    <mergeCell ref="A1:P2"/>
    <mergeCell ref="A3:P3"/>
    <mergeCell ref="A5:P5"/>
    <mergeCell ref="A12:P12"/>
    <mergeCell ref="A18:P18"/>
    <mergeCell ref="A54:P54"/>
    <mergeCell ref="A60:P60"/>
    <mergeCell ref="A65:P65"/>
    <mergeCell ref="A25:P25"/>
    <mergeCell ref="A31:P31"/>
    <mergeCell ref="A37:P37"/>
    <mergeCell ref="A42:P42"/>
    <mergeCell ref="A49:P49"/>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F1D1D"/>
  </sheetPr>
  <dimension ref="A1:M25"/>
  <sheetViews>
    <sheetView showGridLines="0" workbookViewId="0">
      <pane xSplit="2" ySplit="4" topLeftCell="C5" activePane="bottomRight" state="frozen"/>
      <selection pane="topRight" activeCell="C1" sqref="C1"/>
      <selection pane="bottomLeft" activeCell="A5" sqref="A5"/>
      <selection pane="bottomRight" activeCell="C11" sqref="C11"/>
    </sheetView>
  </sheetViews>
  <sheetFormatPr defaultColWidth="8.6640625" defaultRowHeight="14.4" x14ac:dyDescent="0.3"/>
  <cols>
    <col min="1" max="1" width="4" customWidth="1"/>
    <col min="2" max="2" width="12" customWidth="1"/>
    <col min="3" max="3" width="32" customWidth="1"/>
    <col min="4" max="4" width="24" customWidth="1"/>
    <col min="5" max="5" width="14" customWidth="1"/>
    <col min="6" max="6" width="12" customWidth="1"/>
    <col min="7" max="7" width="14" customWidth="1"/>
    <col min="8" max="8" width="12" customWidth="1"/>
    <col min="9" max="9" width="18.44140625" bestFit="1" customWidth="1"/>
    <col min="10" max="11" width="18" customWidth="1"/>
    <col min="12" max="12" width="12" customWidth="1"/>
    <col min="13" max="13" width="50.88671875" bestFit="1" customWidth="1"/>
  </cols>
  <sheetData>
    <row r="1" spans="1:13" x14ac:dyDescent="0.3">
      <c r="A1" s="101" t="s">
        <v>567</v>
      </c>
      <c r="B1" s="101"/>
      <c r="C1" s="101"/>
      <c r="D1" s="101"/>
      <c r="E1" s="101"/>
      <c r="F1" s="101"/>
      <c r="G1" s="101"/>
      <c r="H1" s="101"/>
      <c r="I1" s="101"/>
      <c r="J1" s="101"/>
      <c r="K1" s="101"/>
      <c r="L1" s="101"/>
      <c r="M1" s="101"/>
    </row>
    <row r="2" spans="1:13" x14ac:dyDescent="0.3">
      <c r="A2" s="101"/>
      <c r="B2" s="101"/>
      <c r="C2" s="101"/>
      <c r="D2" s="101"/>
      <c r="E2" s="101"/>
      <c r="F2" s="101"/>
      <c r="G2" s="101"/>
      <c r="H2" s="101"/>
      <c r="I2" s="101"/>
      <c r="J2" s="101"/>
      <c r="K2" s="101"/>
      <c r="L2" s="101"/>
      <c r="M2" s="101"/>
    </row>
    <row r="3" spans="1:13" x14ac:dyDescent="0.3">
      <c r="A3" s="102" t="s">
        <v>568</v>
      </c>
      <c r="B3" s="102"/>
      <c r="C3" s="102"/>
      <c r="D3" s="102"/>
      <c r="E3" s="102"/>
      <c r="F3" s="102"/>
      <c r="G3" s="102"/>
      <c r="H3" s="102"/>
      <c r="I3" s="102"/>
      <c r="J3" s="102"/>
      <c r="K3" s="102"/>
      <c r="L3" s="102"/>
      <c r="M3" s="102"/>
    </row>
    <row r="4" spans="1:13" ht="36" customHeight="1" x14ac:dyDescent="0.3">
      <c r="A4" s="24" t="s">
        <v>69</v>
      </c>
      <c r="B4" s="24" t="s">
        <v>569</v>
      </c>
      <c r="C4" s="24" t="s">
        <v>570</v>
      </c>
      <c r="D4" s="24" t="s">
        <v>571</v>
      </c>
      <c r="E4" s="24" t="s">
        <v>572</v>
      </c>
      <c r="F4" s="24" t="s">
        <v>573</v>
      </c>
      <c r="G4" s="24" t="s">
        <v>574</v>
      </c>
      <c r="H4" s="24" t="s">
        <v>575</v>
      </c>
      <c r="I4" s="24" t="s">
        <v>576</v>
      </c>
      <c r="J4" s="24" t="s">
        <v>577</v>
      </c>
      <c r="K4" s="24" t="s">
        <v>578</v>
      </c>
      <c r="L4" s="24" t="s">
        <v>80</v>
      </c>
      <c r="M4" s="24" t="s">
        <v>81</v>
      </c>
    </row>
    <row r="5" spans="1:13" ht="19.5" customHeight="1" x14ac:dyDescent="0.3">
      <c r="A5" s="25">
        <v>1</v>
      </c>
      <c r="B5" s="70" t="s">
        <v>579</v>
      </c>
      <c r="C5" s="71" t="s">
        <v>580</v>
      </c>
      <c r="D5" s="4" t="s">
        <v>83</v>
      </c>
      <c r="E5" s="4" t="s">
        <v>581</v>
      </c>
      <c r="F5" s="28">
        <v>12</v>
      </c>
      <c r="G5" s="30">
        <v>5</v>
      </c>
      <c r="H5" s="32" t="s">
        <v>582</v>
      </c>
      <c r="I5" s="4" t="s">
        <v>583</v>
      </c>
      <c r="J5" s="4" t="s">
        <v>584</v>
      </c>
      <c r="K5" s="4" t="s">
        <v>585</v>
      </c>
      <c r="L5" s="30" t="s">
        <v>586</v>
      </c>
      <c r="M5" s="4" t="s">
        <v>587</v>
      </c>
    </row>
    <row r="6" spans="1:13" ht="19.5" customHeight="1" x14ac:dyDescent="0.3">
      <c r="A6" s="25">
        <v>2</v>
      </c>
      <c r="B6" s="70" t="s">
        <v>588</v>
      </c>
      <c r="C6" s="72" t="s">
        <v>589</v>
      </c>
      <c r="D6" s="4" t="s">
        <v>83</v>
      </c>
      <c r="E6" s="4" t="s">
        <v>590</v>
      </c>
      <c r="F6" s="28">
        <v>4</v>
      </c>
      <c r="G6" s="30">
        <v>2</v>
      </c>
      <c r="H6" s="32" t="s">
        <v>582</v>
      </c>
      <c r="I6" s="4" t="s">
        <v>591</v>
      </c>
      <c r="J6" s="4" t="s">
        <v>592</v>
      </c>
      <c r="K6" s="4" t="s">
        <v>593</v>
      </c>
      <c r="L6" s="30" t="s">
        <v>586</v>
      </c>
      <c r="M6" s="36" t="s">
        <v>594</v>
      </c>
    </row>
    <row r="7" spans="1:13" ht="19.5" customHeight="1" x14ac:dyDescent="0.3">
      <c r="A7" s="25">
        <v>3</v>
      </c>
      <c r="B7" s="70" t="s">
        <v>595</v>
      </c>
      <c r="C7" s="71" t="s">
        <v>596</v>
      </c>
      <c r="D7" s="4" t="s">
        <v>83</v>
      </c>
      <c r="E7" s="4" t="s">
        <v>590</v>
      </c>
      <c r="F7" s="28">
        <v>6</v>
      </c>
      <c r="G7" s="30">
        <v>2</v>
      </c>
      <c r="H7" s="32" t="s">
        <v>582</v>
      </c>
      <c r="I7" s="4" t="s">
        <v>591</v>
      </c>
      <c r="J7" s="4" t="s">
        <v>597</v>
      </c>
      <c r="K7" s="4" t="s">
        <v>593</v>
      </c>
      <c r="L7" s="30" t="s">
        <v>586</v>
      </c>
      <c r="M7" s="4" t="s">
        <v>598</v>
      </c>
    </row>
    <row r="8" spans="1:13" ht="19.5" customHeight="1" x14ac:dyDescent="0.3">
      <c r="A8" s="25">
        <v>4</v>
      </c>
      <c r="B8" s="70" t="s">
        <v>599</v>
      </c>
      <c r="C8" s="72" t="s">
        <v>600</v>
      </c>
      <c r="D8" s="4" t="s">
        <v>83</v>
      </c>
      <c r="E8" s="4" t="s">
        <v>590</v>
      </c>
      <c r="F8" s="28">
        <v>20</v>
      </c>
      <c r="G8" s="30">
        <v>10</v>
      </c>
      <c r="H8" s="32" t="s">
        <v>582</v>
      </c>
      <c r="I8" s="4" t="s">
        <v>601</v>
      </c>
      <c r="J8" s="4" t="s">
        <v>602</v>
      </c>
      <c r="K8" s="4" t="s">
        <v>603</v>
      </c>
      <c r="L8" s="30" t="s">
        <v>586</v>
      </c>
      <c r="M8" s="36" t="s">
        <v>604</v>
      </c>
    </row>
    <row r="9" spans="1:13" ht="19.5" customHeight="1" x14ac:dyDescent="0.3">
      <c r="A9" s="25">
        <v>5</v>
      </c>
      <c r="B9" s="70" t="s">
        <v>605</v>
      </c>
      <c r="C9" s="73" t="s">
        <v>606</v>
      </c>
      <c r="D9" s="4" t="s">
        <v>94</v>
      </c>
      <c r="E9" s="4" t="s">
        <v>581</v>
      </c>
      <c r="F9" s="74">
        <v>2</v>
      </c>
      <c r="G9" s="30">
        <v>5</v>
      </c>
      <c r="H9" s="74" t="s">
        <v>607</v>
      </c>
      <c r="I9" s="4" t="s">
        <v>608</v>
      </c>
      <c r="J9" s="4" t="s">
        <v>609</v>
      </c>
      <c r="K9" s="4" t="s">
        <v>610</v>
      </c>
      <c r="L9" s="30" t="s">
        <v>586</v>
      </c>
      <c r="M9" s="75" t="s">
        <v>611</v>
      </c>
    </row>
    <row r="10" spans="1:13" ht="19.5" customHeight="1" x14ac:dyDescent="0.3">
      <c r="A10" s="25">
        <v>6</v>
      </c>
      <c r="B10" s="70" t="s">
        <v>612</v>
      </c>
      <c r="C10" s="73" t="s">
        <v>613</v>
      </c>
      <c r="D10" s="4" t="s">
        <v>94</v>
      </c>
      <c r="E10" s="4" t="s">
        <v>590</v>
      </c>
      <c r="F10" s="74">
        <v>1</v>
      </c>
      <c r="G10" s="30">
        <v>3</v>
      </c>
      <c r="H10" s="74" t="s">
        <v>607</v>
      </c>
      <c r="I10" s="4" t="s">
        <v>608</v>
      </c>
      <c r="J10" s="4" t="s">
        <v>614</v>
      </c>
      <c r="K10" s="4" t="s">
        <v>615</v>
      </c>
      <c r="L10" s="30" t="s">
        <v>586</v>
      </c>
      <c r="M10" s="75" t="s">
        <v>616</v>
      </c>
    </row>
    <row r="11" spans="1:13" ht="19.5" customHeight="1" x14ac:dyDescent="0.3">
      <c r="A11" s="25">
        <v>7</v>
      </c>
      <c r="B11" s="70" t="s">
        <v>617</v>
      </c>
      <c r="C11" s="71" t="s">
        <v>618</v>
      </c>
      <c r="D11" s="4" t="s">
        <v>94</v>
      </c>
      <c r="E11" s="4" t="s">
        <v>590</v>
      </c>
      <c r="F11" s="28">
        <v>5</v>
      </c>
      <c r="G11" s="30">
        <v>2</v>
      </c>
      <c r="H11" s="32" t="s">
        <v>582</v>
      </c>
      <c r="I11" s="4" t="s">
        <v>619</v>
      </c>
      <c r="J11" s="4" t="s">
        <v>620</v>
      </c>
      <c r="K11" s="4" t="s">
        <v>615</v>
      </c>
      <c r="L11" s="30" t="s">
        <v>586</v>
      </c>
      <c r="M11" s="4" t="s">
        <v>621</v>
      </c>
    </row>
    <row r="12" spans="1:13" ht="19.5" customHeight="1" x14ac:dyDescent="0.3">
      <c r="A12" s="25">
        <v>8</v>
      </c>
      <c r="B12" s="70" t="s">
        <v>622</v>
      </c>
      <c r="C12" s="72" t="s">
        <v>623</v>
      </c>
      <c r="D12" s="4" t="s">
        <v>99</v>
      </c>
      <c r="E12" s="4" t="s">
        <v>590</v>
      </c>
      <c r="F12" s="28">
        <v>3</v>
      </c>
      <c r="G12" s="30">
        <v>2</v>
      </c>
      <c r="H12" s="32" t="s">
        <v>582</v>
      </c>
      <c r="I12" s="4" t="s">
        <v>619</v>
      </c>
      <c r="J12" s="4" t="s">
        <v>624</v>
      </c>
      <c r="K12" s="4" t="s">
        <v>625</v>
      </c>
      <c r="L12" s="30" t="s">
        <v>586</v>
      </c>
      <c r="M12" s="36" t="s">
        <v>626</v>
      </c>
    </row>
    <row r="13" spans="1:13" ht="19.5" customHeight="1" x14ac:dyDescent="0.3">
      <c r="A13" s="25">
        <v>9</v>
      </c>
      <c r="B13" s="70" t="s">
        <v>627</v>
      </c>
      <c r="C13" s="71" t="s">
        <v>628</v>
      </c>
      <c r="D13" s="4" t="s">
        <v>83</v>
      </c>
      <c r="E13" s="4" t="s">
        <v>590</v>
      </c>
      <c r="F13" s="28">
        <v>8</v>
      </c>
      <c r="G13" s="30">
        <v>3</v>
      </c>
      <c r="H13" s="32" t="s">
        <v>582</v>
      </c>
      <c r="I13" s="4" t="s">
        <v>629</v>
      </c>
      <c r="J13" s="4" t="s">
        <v>630</v>
      </c>
      <c r="K13" s="4" t="s">
        <v>631</v>
      </c>
      <c r="L13" s="30" t="s">
        <v>586</v>
      </c>
      <c r="M13" s="4" t="s">
        <v>632</v>
      </c>
    </row>
    <row r="14" spans="1:13" ht="19.5" customHeight="1" x14ac:dyDescent="0.3">
      <c r="A14" s="25">
        <v>10</v>
      </c>
      <c r="B14" s="70" t="s">
        <v>633</v>
      </c>
      <c r="C14" s="72" t="s">
        <v>634</v>
      </c>
      <c r="D14" s="4" t="s">
        <v>99</v>
      </c>
      <c r="E14" s="4" t="s">
        <v>581</v>
      </c>
      <c r="F14" s="28">
        <v>15</v>
      </c>
      <c r="G14" s="30">
        <v>5</v>
      </c>
      <c r="H14" s="32" t="s">
        <v>582</v>
      </c>
      <c r="I14" s="4" t="s">
        <v>583</v>
      </c>
      <c r="J14" s="4" t="s">
        <v>635</v>
      </c>
      <c r="K14" s="4" t="s">
        <v>610</v>
      </c>
      <c r="L14" s="30" t="s">
        <v>586</v>
      </c>
      <c r="M14" s="36" t="s">
        <v>636</v>
      </c>
    </row>
    <row r="15" spans="1:13" ht="19.5" customHeight="1" x14ac:dyDescent="0.3">
      <c r="A15" s="25">
        <v>11</v>
      </c>
      <c r="B15" s="70" t="s">
        <v>637</v>
      </c>
      <c r="C15" s="71" t="s">
        <v>638</v>
      </c>
      <c r="D15" s="4" t="s">
        <v>639</v>
      </c>
      <c r="E15" s="4" t="s">
        <v>581</v>
      </c>
      <c r="F15" s="28">
        <v>20</v>
      </c>
      <c r="G15" s="30">
        <v>8</v>
      </c>
      <c r="H15" s="32" t="s">
        <v>582</v>
      </c>
      <c r="I15" s="4" t="s">
        <v>583</v>
      </c>
      <c r="J15" s="4" t="s">
        <v>640</v>
      </c>
      <c r="K15" s="4" t="s">
        <v>641</v>
      </c>
      <c r="L15" s="30" t="s">
        <v>586</v>
      </c>
      <c r="M15" s="4" t="s">
        <v>642</v>
      </c>
    </row>
    <row r="16" spans="1:13" ht="19.5" customHeight="1" x14ac:dyDescent="0.3">
      <c r="A16" s="25">
        <v>12</v>
      </c>
      <c r="B16" s="70" t="s">
        <v>643</v>
      </c>
      <c r="C16" s="72" t="s">
        <v>644</v>
      </c>
      <c r="D16" s="4" t="s">
        <v>94</v>
      </c>
      <c r="E16" s="4" t="s">
        <v>645</v>
      </c>
      <c r="F16" s="28">
        <v>6</v>
      </c>
      <c r="G16" s="30">
        <v>2</v>
      </c>
      <c r="H16" s="32" t="s">
        <v>582</v>
      </c>
      <c r="I16" s="4" t="s">
        <v>646</v>
      </c>
      <c r="J16" s="4" t="s">
        <v>647</v>
      </c>
      <c r="K16" s="4" t="s">
        <v>648</v>
      </c>
      <c r="L16" s="30" t="s">
        <v>586</v>
      </c>
      <c r="M16" s="36" t="s">
        <v>649</v>
      </c>
    </row>
    <row r="17" spans="1:13" ht="19.5" customHeight="1" x14ac:dyDescent="0.3">
      <c r="A17" s="25">
        <v>13</v>
      </c>
      <c r="B17" s="70" t="s">
        <v>650</v>
      </c>
      <c r="C17" s="71" t="s">
        <v>651</v>
      </c>
      <c r="D17" s="4" t="s">
        <v>106</v>
      </c>
      <c r="E17" s="4" t="s">
        <v>652</v>
      </c>
      <c r="F17" s="28">
        <v>5</v>
      </c>
      <c r="G17" s="30">
        <v>2</v>
      </c>
      <c r="H17" s="32" t="s">
        <v>582</v>
      </c>
      <c r="I17" s="4" t="s">
        <v>653</v>
      </c>
      <c r="J17" s="4" t="s">
        <v>654</v>
      </c>
      <c r="K17" s="4" t="s">
        <v>655</v>
      </c>
      <c r="L17" s="30" t="s">
        <v>586</v>
      </c>
      <c r="M17" s="4" t="s">
        <v>656</v>
      </c>
    </row>
    <row r="18" spans="1:13" ht="19.5" customHeight="1" x14ac:dyDescent="0.3">
      <c r="A18" s="25">
        <v>14</v>
      </c>
      <c r="B18" s="70" t="s">
        <v>657</v>
      </c>
      <c r="C18" s="72" t="s">
        <v>658</v>
      </c>
      <c r="D18" s="4" t="s">
        <v>106</v>
      </c>
      <c r="E18" s="4" t="s">
        <v>659</v>
      </c>
      <c r="F18" s="28">
        <v>200</v>
      </c>
      <c r="G18" s="30">
        <v>50</v>
      </c>
      <c r="H18" s="32" t="s">
        <v>582</v>
      </c>
      <c r="I18" s="4" t="s">
        <v>653</v>
      </c>
      <c r="J18" s="4" t="s">
        <v>660</v>
      </c>
      <c r="K18" s="4" t="s">
        <v>661</v>
      </c>
      <c r="L18" s="30" t="s">
        <v>586</v>
      </c>
      <c r="M18" s="36" t="s">
        <v>662</v>
      </c>
    </row>
    <row r="19" spans="1:13" ht="19.5" customHeight="1" x14ac:dyDescent="0.3">
      <c r="A19" s="25">
        <v>15</v>
      </c>
      <c r="B19" s="70" t="s">
        <v>663</v>
      </c>
      <c r="C19" s="71" t="s">
        <v>664</v>
      </c>
      <c r="D19" s="4" t="s">
        <v>665</v>
      </c>
      <c r="E19" s="4" t="s">
        <v>666</v>
      </c>
      <c r="F19" s="28">
        <v>100</v>
      </c>
      <c r="G19" s="30">
        <v>30</v>
      </c>
      <c r="H19" s="32" t="s">
        <v>582</v>
      </c>
      <c r="I19" s="4" t="s">
        <v>667</v>
      </c>
      <c r="J19" s="4" t="s">
        <v>668</v>
      </c>
      <c r="K19" s="4" t="s">
        <v>669</v>
      </c>
      <c r="L19" s="30" t="s">
        <v>586</v>
      </c>
      <c r="M19" s="4" t="s">
        <v>670</v>
      </c>
    </row>
    <row r="20" spans="1:13" ht="19.5" customHeight="1" x14ac:dyDescent="0.3">
      <c r="A20" s="25">
        <v>16</v>
      </c>
      <c r="B20" s="70" t="s">
        <v>671</v>
      </c>
      <c r="C20" s="72" t="s">
        <v>672</v>
      </c>
      <c r="D20" s="4" t="s">
        <v>673</v>
      </c>
      <c r="E20" s="4" t="s">
        <v>659</v>
      </c>
      <c r="F20" s="28">
        <v>50</v>
      </c>
      <c r="G20" s="30">
        <v>10</v>
      </c>
      <c r="H20" s="32" t="s">
        <v>582</v>
      </c>
      <c r="I20" s="4" t="s">
        <v>629</v>
      </c>
      <c r="J20" s="4" t="s">
        <v>674</v>
      </c>
      <c r="K20" s="4" t="s">
        <v>675</v>
      </c>
      <c r="L20" s="30" t="s">
        <v>586</v>
      </c>
      <c r="M20" s="36" t="s">
        <v>676</v>
      </c>
    </row>
    <row r="21" spans="1:13" ht="19.5" customHeight="1" x14ac:dyDescent="0.3">
      <c r="A21" s="25">
        <v>17</v>
      </c>
      <c r="B21" s="70" t="s">
        <v>677</v>
      </c>
      <c r="C21" s="71" t="s">
        <v>678</v>
      </c>
      <c r="D21" s="4" t="s">
        <v>120</v>
      </c>
      <c r="E21" s="4" t="s">
        <v>590</v>
      </c>
      <c r="F21" s="28">
        <v>3</v>
      </c>
      <c r="G21" s="30">
        <v>2</v>
      </c>
      <c r="H21" s="32" t="s">
        <v>582</v>
      </c>
      <c r="I21" s="4" t="s">
        <v>679</v>
      </c>
      <c r="J21" s="4" t="s">
        <v>680</v>
      </c>
      <c r="K21" s="4" t="s">
        <v>681</v>
      </c>
      <c r="L21" s="30" t="s">
        <v>586</v>
      </c>
      <c r="M21" s="4" t="s">
        <v>682</v>
      </c>
    </row>
    <row r="22" spans="1:13" ht="19.5" customHeight="1" x14ac:dyDescent="0.3">
      <c r="A22" s="25">
        <v>18</v>
      </c>
      <c r="B22" s="70" t="s">
        <v>683</v>
      </c>
      <c r="C22" s="72" t="s">
        <v>684</v>
      </c>
      <c r="D22" s="4" t="s">
        <v>128</v>
      </c>
      <c r="E22" s="4" t="s">
        <v>659</v>
      </c>
      <c r="F22" s="28">
        <v>100</v>
      </c>
      <c r="G22" s="30">
        <v>20</v>
      </c>
      <c r="H22" s="32" t="s">
        <v>582</v>
      </c>
      <c r="I22" s="4" t="s">
        <v>685</v>
      </c>
      <c r="J22" s="4" t="s">
        <v>686</v>
      </c>
      <c r="K22" s="4" t="s">
        <v>687</v>
      </c>
      <c r="L22" s="30" t="s">
        <v>586</v>
      </c>
      <c r="M22" s="36" t="s">
        <v>688</v>
      </c>
    </row>
    <row r="23" spans="1:13" ht="19.5" customHeight="1" x14ac:dyDescent="0.3">
      <c r="A23" s="25">
        <v>19</v>
      </c>
      <c r="B23" s="70" t="s">
        <v>689</v>
      </c>
      <c r="C23" s="71" t="s">
        <v>690</v>
      </c>
      <c r="D23" s="4" t="s">
        <v>134</v>
      </c>
      <c r="E23" s="4" t="s">
        <v>659</v>
      </c>
      <c r="F23" s="28">
        <v>50</v>
      </c>
      <c r="G23" s="30">
        <v>10</v>
      </c>
      <c r="H23" s="32" t="s">
        <v>582</v>
      </c>
      <c r="I23" s="4" t="s">
        <v>691</v>
      </c>
      <c r="J23" s="4" t="s">
        <v>692</v>
      </c>
      <c r="K23" s="4" t="s">
        <v>693</v>
      </c>
      <c r="L23" s="30" t="s">
        <v>586</v>
      </c>
      <c r="M23" s="4" t="s">
        <v>694</v>
      </c>
    </row>
    <row r="24" spans="1:13" ht="19.5" customHeight="1" x14ac:dyDescent="0.3">
      <c r="A24" s="25">
        <v>20</v>
      </c>
      <c r="B24" s="70" t="s">
        <v>695</v>
      </c>
      <c r="C24" s="72" t="s">
        <v>696</v>
      </c>
      <c r="D24" s="4" t="s">
        <v>697</v>
      </c>
      <c r="E24" s="4" t="s">
        <v>590</v>
      </c>
      <c r="F24" s="28">
        <v>200</v>
      </c>
      <c r="G24" s="30">
        <v>50</v>
      </c>
      <c r="H24" s="32" t="s">
        <v>582</v>
      </c>
      <c r="I24" s="4" t="s">
        <v>583</v>
      </c>
      <c r="J24" s="4" t="s">
        <v>698</v>
      </c>
      <c r="K24" s="4" t="s">
        <v>699</v>
      </c>
      <c r="L24" s="30" t="s">
        <v>586</v>
      </c>
      <c r="M24" s="36" t="s">
        <v>700</v>
      </c>
    </row>
    <row r="25" spans="1:13" ht="21.75" customHeight="1" x14ac:dyDescent="0.3">
      <c r="A25" s="110" t="s">
        <v>701</v>
      </c>
      <c r="B25" s="110"/>
      <c r="C25" s="110"/>
      <c r="D25" s="110"/>
      <c r="E25" s="110"/>
      <c r="F25" s="110"/>
      <c r="G25" s="110"/>
      <c r="H25" s="76">
        <f>COUNTIF(H5:H24,"Low Stock")</f>
        <v>2</v>
      </c>
      <c r="I25" s="77" t="s">
        <v>702</v>
      </c>
    </row>
  </sheetData>
  <mergeCells count="3">
    <mergeCell ref="A1:M2"/>
    <mergeCell ref="A3:M3"/>
    <mergeCell ref="A25:G25"/>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D4E00"/>
  </sheetPr>
  <dimension ref="A1:N23"/>
  <sheetViews>
    <sheetView showGridLines="0" workbookViewId="0">
      <pane xSplit="2" ySplit="4" topLeftCell="C5" activePane="bottomRight" state="frozen"/>
      <selection pane="topRight" activeCell="C1" sqref="C1"/>
      <selection pane="bottomLeft" activeCell="A5" sqref="A5"/>
      <selection pane="bottomRight" activeCell="C5" sqref="C5:C22"/>
    </sheetView>
  </sheetViews>
  <sheetFormatPr defaultColWidth="8.6640625" defaultRowHeight="14.4" x14ac:dyDescent="0.3"/>
  <cols>
    <col min="1" max="1" width="4" customWidth="1"/>
    <col min="2" max="2" width="12" customWidth="1"/>
    <col min="3" max="3" width="30" customWidth="1"/>
    <col min="4" max="4" width="14" customWidth="1"/>
    <col min="5" max="5" width="16" customWidth="1"/>
    <col min="6" max="6" width="14" customWidth="1"/>
    <col min="7" max="8" width="16" customWidth="1"/>
    <col min="9" max="10" width="12" customWidth="1"/>
    <col min="11" max="11" width="18" customWidth="1"/>
    <col min="12" max="12" width="16" customWidth="1"/>
    <col min="13" max="13" width="12" customWidth="1"/>
    <col min="14" max="14" width="30" customWidth="1"/>
  </cols>
  <sheetData>
    <row r="1" spans="1:14" x14ac:dyDescent="0.3">
      <c r="A1" s="101" t="s">
        <v>703</v>
      </c>
      <c r="B1" s="101"/>
      <c r="C1" s="101"/>
      <c r="D1" s="101"/>
      <c r="E1" s="101"/>
      <c r="F1" s="101"/>
      <c r="G1" s="101"/>
      <c r="H1" s="101"/>
      <c r="I1" s="101"/>
      <c r="J1" s="101"/>
      <c r="K1" s="101"/>
      <c r="L1" s="101"/>
      <c r="M1" s="101"/>
      <c r="N1" s="101"/>
    </row>
    <row r="2" spans="1:14" x14ac:dyDescent="0.3">
      <c r="A2" s="101"/>
      <c r="B2" s="101"/>
      <c r="C2" s="101"/>
      <c r="D2" s="101"/>
      <c r="E2" s="101"/>
      <c r="F2" s="101"/>
      <c r="G2" s="101"/>
      <c r="H2" s="101"/>
      <c r="I2" s="101"/>
      <c r="J2" s="101"/>
      <c r="K2" s="101"/>
      <c r="L2" s="101"/>
      <c r="M2" s="101"/>
      <c r="N2" s="101"/>
    </row>
    <row r="3" spans="1:14" x14ac:dyDescent="0.3">
      <c r="A3" s="102" t="s">
        <v>704</v>
      </c>
      <c r="B3" s="102"/>
      <c r="C3" s="102"/>
      <c r="D3" s="102"/>
      <c r="E3" s="102"/>
      <c r="F3" s="102"/>
      <c r="G3" s="102"/>
      <c r="H3" s="102"/>
      <c r="I3" s="102"/>
      <c r="J3" s="102"/>
      <c r="K3" s="102"/>
      <c r="L3" s="102"/>
      <c r="M3" s="102"/>
      <c r="N3" s="102"/>
    </row>
    <row r="4" spans="1:14" ht="39.75" customHeight="1" x14ac:dyDescent="0.3">
      <c r="A4" s="24" t="s">
        <v>69</v>
      </c>
      <c r="B4" s="24" t="s">
        <v>705</v>
      </c>
      <c r="C4" s="24" t="s">
        <v>706</v>
      </c>
      <c r="D4" s="24" t="s">
        <v>70</v>
      </c>
      <c r="E4" s="24" t="s">
        <v>707</v>
      </c>
      <c r="F4" s="24" t="s">
        <v>708</v>
      </c>
      <c r="G4" s="24" t="s">
        <v>709</v>
      </c>
      <c r="H4" s="24" t="s">
        <v>710</v>
      </c>
      <c r="I4" s="24" t="s">
        <v>575</v>
      </c>
      <c r="J4" s="24" t="s">
        <v>711</v>
      </c>
      <c r="K4" s="24" t="s">
        <v>712</v>
      </c>
      <c r="L4" s="24" t="s">
        <v>578</v>
      </c>
      <c r="M4" s="24" t="s">
        <v>80</v>
      </c>
      <c r="N4" s="24" t="s">
        <v>713</v>
      </c>
    </row>
    <row r="5" spans="1:14" ht="21.75" customHeight="1" x14ac:dyDescent="0.3">
      <c r="A5" s="25">
        <v>1</v>
      </c>
      <c r="B5" s="70" t="s">
        <v>714</v>
      </c>
      <c r="C5" s="71" t="s">
        <v>715</v>
      </c>
      <c r="D5" s="27" t="s">
        <v>83</v>
      </c>
      <c r="E5" s="30">
        <v>24</v>
      </c>
      <c r="F5" s="30" t="s">
        <v>716</v>
      </c>
      <c r="G5" s="30" t="s">
        <v>717</v>
      </c>
      <c r="H5" s="32">
        <v>7</v>
      </c>
      <c r="I5" s="32" t="s">
        <v>582</v>
      </c>
      <c r="J5" s="32" t="s">
        <v>718</v>
      </c>
      <c r="K5" s="4" t="s">
        <v>719</v>
      </c>
      <c r="L5" s="4" t="s">
        <v>720</v>
      </c>
      <c r="M5" s="30" t="s">
        <v>414</v>
      </c>
      <c r="N5" s="27" t="s">
        <v>721</v>
      </c>
    </row>
    <row r="6" spans="1:14" ht="21.75" customHeight="1" x14ac:dyDescent="0.3">
      <c r="A6" s="25">
        <v>2</v>
      </c>
      <c r="B6" s="70" t="s">
        <v>722</v>
      </c>
      <c r="C6" s="72" t="s">
        <v>723</v>
      </c>
      <c r="D6" s="27" t="s">
        <v>83</v>
      </c>
      <c r="E6" s="30">
        <v>36</v>
      </c>
      <c r="F6" s="30" t="s">
        <v>724</v>
      </c>
      <c r="G6" s="30" t="s">
        <v>653</v>
      </c>
      <c r="H6" s="32">
        <v>9</v>
      </c>
      <c r="I6" s="32" t="s">
        <v>582</v>
      </c>
      <c r="J6" s="32" t="s">
        <v>718</v>
      </c>
      <c r="K6" s="4" t="s">
        <v>725</v>
      </c>
      <c r="L6" s="4" t="s">
        <v>720</v>
      </c>
      <c r="M6" s="30" t="s">
        <v>414</v>
      </c>
      <c r="N6" s="33" t="s">
        <v>726</v>
      </c>
    </row>
    <row r="7" spans="1:14" ht="21.75" customHeight="1" x14ac:dyDescent="0.3">
      <c r="A7" s="25">
        <v>3</v>
      </c>
      <c r="B7" s="70" t="s">
        <v>727</v>
      </c>
      <c r="C7" s="78" t="s">
        <v>728</v>
      </c>
      <c r="D7" s="27" t="s">
        <v>83</v>
      </c>
      <c r="E7" s="30">
        <v>48</v>
      </c>
      <c r="F7" s="30" t="s">
        <v>729</v>
      </c>
      <c r="G7" s="30" t="s">
        <v>730</v>
      </c>
      <c r="H7" s="79">
        <v>1</v>
      </c>
      <c r="I7" s="79" t="s">
        <v>607</v>
      </c>
      <c r="J7" s="79" t="s">
        <v>731</v>
      </c>
      <c r="K7" s="4" t="s">
        <v>732</v>
      </c>
      <c r="L7" s="4" t="s">
        <v>733</v>
      </c>
      <c r="M7" s="30" t="s">
        <v>734</v>
      </c>
      <c r="N7" s="79" t="s">
        <v>735</v>
      </c>
    </row>
    <row r="8" spans="1:14" ht="21.75" customHeight="1" x14ac:dyDescent="0.3">
      <c r="A8" s="25">
        <v>4</v>
      </c>
      <c r="B8" s="70" t="s">
        <v>736</v>
      </c>
      <c r="C8" s="72" t="s">
        <v>737</v>
      </c>
      <c r="D8" s="27" t="s">
        <v>94</v>
      </c>
      <c r="E8" s="30">
        <v>36</v>
      </c>
      <c r="F8" s="30" t="s">
        <v>738</v>
      </c>
      <c r="G8" s="30" t="s">
        <v>591</v>
      </c>
      <c r="H8" s="32">
        <v>9</v>
      </c>
      <c r="I8" s="32" t="s">
        <v>582</v>
      </c>
      <c r="J8" s="32" t="s">
        <v>718</v>
      </c>
      <c r="K8" s="4" t="s">
        <v>739</v>
      </c>
      <c r="L8" s="4" t="s">
        <v>740</v>
      </c>
      <c r="M8" s="30" t="s">
        <v>414</v>
      </c>
      <c r="N8" s="33" t="s">
        <v>741</v>
      </c>
    </row>
    <row r="9" spans="1:14" ht="21.75" customHeight="1" x14ac:dyDescent="0.3">
      <c r="A9" s="25">
        <v>5</v>
      </c>
      <c r="B9" s="70" t="s">
        <v>742</v>
      </c>
      <c r="C9" s="71" t="s">
        <v>743</v>
      </c>
      <c r="D9" s="27" t="s">
        <v>94</v>
      </c>
      <c r="E9" s="30">
        <v>24</v>
      </c>
      <c r="F9" s="30" t="s">
        <v>744</v>
      </c>
      <c r="G9" s="30" t="s">
        <v>745</v>
      </c>
      <c r="H9" s="32">
        <v>17</v>
      </c>
      <c r="I9" s="32" t="s">
        <v>582</v>
      </c>
      <c r="J9" s="32" t="s">
        <v>718</v>
      </c>
      <c r="K9" s="4" t="s">
        <v>746</v>
      </c>
      <c r="L9" s="4" t="s">
        <v>740</v>
      </c>
      <c r="M9" s="30" t="s">
        <v>414</v>
      </c>
      <c r="N9" s="27" t="s">
        <v>747</v>
      </c>
    </row>
    <row r="10" spans="1:14" ht="21.75" customHeight="1" x14ac:dyDescent="0.3">
      <c r="A10" s="25">
        <v>6</v>
      </c>
      <c r="B10" s="70" t="s">
        <v>748</v>
      </c>
      <c r="C10" s="73" t="s">
        <v>749</v>
      </c>
      <c r="D10" s="27" t="s">
        <v>99</v>
      </c>
      <c r="E10" s="30">
        <v>18</v>
      </c>
      <c r="F10" s="30" t="s">
        <v>750</v>
      </c>
      <c r="G10" s="30" t="s">
        <v>751</v>
      </c>
      <c r="H10" s="74">
        <v>0</v>
      </c>
      <c r="I10" s="74" t="s">
        <v>607</v>
      </c>
      <c r="J10" s="74" t="s">
        <v>752</v>
      </c>
      <c r="K10" s="4" t="s">
        <v>753</v>
      </c>
      <c r="L10" s="4" t="s">
        <v>754</v>
      </c>
      <c r="M10" s="30" t="s">
        <v>734</v>
      </c>
      <c r="N10" s="74" t="s">
        <v>755</v>
      </c>
    </row>
    <row r="11" spans="1:14" ht="21.75" customHeight="1" x14ac:dyDescent="0.3">
      <c r="A11" s="25">
        <v>7</v>
      </c>
      <c r="B11" s="70" t="s">
        <v>756</v>
      </c>
      <c r="C11" s="78" t="s">
        <v>757</v>
      </c>
      <c r="D11" s="27" t="s">
        <v>99</v>
      </c>
      <c r="E11" s="30">
        <v>12</v>
      </c>
      <c r="F11" s="30" t="s">
        <v>758</v>
      </c>
      <c r="G11" s="30" t="s">
        <v>730</v>
      </c>
      <c r="H11" s="79">
        <v>1</v>
      </c>
      <c r="I11" s="79" t="s">
        <v>607</v>
      </c>
      <c r="J11" s="79" t="s">
        <v>731</v>
      </c>
      <c r="K11" s="4" t="s">
        <v>759</v>
      </c>
      <c r="L11" s="4" t="s">
        <v>754</v>
      </c>
      <c r="M11" s="30" t="s">
        <v>734</v>
      </c>
      <c r="N11" s="79" t="s">
        <v>760</v>
      </c>
    </row>
    <row r="12" spans="1:14" ht="21.75" customHeight="1" x14ac:dyDescent="0.3">
      <c r="A12" s="25">
        <v>8</v>
      </c>
      <c r="B12" s="70" t="s">
        <v>761</v>
      </c>
      <c r="C12" s="72" t="s">
        <v>762</v>
      </c>
      <c r="D12" s="27" t="s">
        <v>99</v>
      </c>
      <c r="E12" s="30">
        <v>6</v>
      </c>
      <c r="F12" s="30" t="s">
        <v>629</v>
      </c>
      <c r="G12" s="30" t="s">
        <v>763</v>
      </c>
      <c r="H12" s="32">
        <v>3</v>
      </c>
      <c r="I12" s="32" t="s">
        <v>582</v>
      </c>
      <c r="J12" s="32" t="s">
        <v>718</v>
      </c>
      <c r="K12" s="4" t="s">
        <v>764</v>
      </c>
      <c r="L12" s="4" t="s">
        <v>765</v>
      </c>
      <c r="M12" s="30" t="s">
        <v>414</v>
      </c>
      <c r="N12" s="33" t="s">
        <v>766</v>
      </c>
    </row>
    <row r="13" spans="1:14" ht="21.75" customHeight="1" x14ac:dyDescent="0.3">
      <c r="A13" s="25">
        <v>9</v>
      </c>
      <c r="B13" s="70" t="s">
        <v>767</v>
      </c>
      <c r="C13" s="73" t="s">
        <v>768</v>
      </c>
      <c r="D13" s="27" t="s">
        <v>99</v>
      </c>
      <c r="E13" s="30">
        <v>24</v>
      </c>
      <c r="F13" s="30" t="s">
        <v>769</v>
      </c>
      <c r="G13" s="30" t="s">
        <v>685</v>
      </c>
      <c r="H13" s="74">
        <v>0</v>
      </c>
      <c r="I13" s="74" t="s">
        <v>607</v>
      </c>
      <c r="J13" s="74" t="s">
        <v>752</v>
      </c>
      <c r="K13" s="4" t="s">
        <v>770</v>
      </c>
      <c r="L13" s="4" t="s">
        <v>771</v>
      </c>
      <c r="M13" s="30" t="s">
        <v>734</v>
      </c>
      <c r="N13" s="74" t="s">
        <v>772</v>
      </c>
    </row>
    <row r="14" spans="1:14" ht="21.75" customHeight="1" x14ac:dyDescent="0.3">
      <c r="A14" s="25">
        <v>10</v>
      </c>
      <c r="B14" s="70" t="s">
        <v>773</v>
      </c>
      <c r="C14" s="73" t="s">
        <v>774</v>
      </c>
      <c r="D14" s="27" t="s">
        <v>106</v>
      </c>
      <c r="E14" s="30">
        <v>48</v>
      </c>
      <c r="F14" s="30" t="s">
        <v>775</v>
      </c>
      <c r="G14" s="30" t="s">
        <v>619</v>
      </c>
      <c r="H14" s="74">
        <v>0</v>
      </c>
      <c r="I14" s="74" t="s">
        <v>607</v>
      </c>
      <c r="J14" s="74" t="s">
        <v>752</v>
      </c>
      <c r="K14" s="4" t="s">
        <v>776</v>
      </c>
      <c r="L14" s="4" t="s">
        <v>777</v>
      </c>
      <c r="M14" s="30" t="s">
        <v>734</v>
      </c>
      <c r="N14" s="74" t="s">
        <v>778</v>
      </c>
    </row>
    <row r="15" spans="1:14" ht="21.75" customHeight="1" x14ac:dyDescent="0.3">
      <c r="A15" s="25">
        <v>11</v>
      </c>
      <c r="B15" s="70" t="s">
        <v>779</v>
      </c>
      <c r="C15" s="73" t="s">
        <v>780</v>
      </c>
      <c r="D15" s="27" t="s">
        <v>106</v>
      </c>
      <c r="E15" s="30">
        <v>60</v>
      </c>
      <c r="F15" s="30" t="s">
        <v>781</v>
      </c>
      <c r="G15" s="30" t="s">
        <v>782</v>
      </c>
      <c r="H15" s="74">
        <v>0</v>
      </c>
      <c r="I15" s="74" t="s">
        <v>607</v>
      </c>
      <c r="J15" s="74" t="s">
        <v>752</v>
      </c>
      <c r="K15" s="4" t="s">
        <v>783</v>
      </c>
      <c r="L15" s="4" t="s">
        <v>777</v>
      </c>
      <c r="M15" s="30" t="s">
        <v>734</v>
      </c>
      <c r="N15" s="74" t="s">
        <v>784</v>
      </c>
    </row>
    <row r="16" spans="1:14" ht="21.75" customHeight="1" x14ac:dyDescent="0.3">
      <c r="A16" s="25">
        <v>12</v>
      </c>
      <c r="B16" s="70" t="s">
        <v>785</v>
      </c>
      <c r="C16" s="72" t="s">
        <v>786</v>
      </c>
      <c r="D16" s="27" t="s">
        <v>112</v>
      </c>
      <c r="E16" s="30">
        <v>30</v>
      </c>
      <c r="F16" s="30" t="s">
        <v>787</v>
      </c>
      <c r="G16" s="30" t="s">
        <v>788</v>
      </c>
      <c r="H16" s="32">
        <v>23</v>
      </c>
      <c r="I16" s="32" t="s">
        <v>582</v>
      </c>
      <c r="J16" s="32" t="s">
        <v>718</v>
      </c>
      <c r="K16" s="4" t="s">
        <v>789</v>
      </c>
      <c r="L16" s="4" t="s">
        <v>790</v>
      </c>
      <c r="M16" s="30" t="s">
        <v>414</v>
      </c>
      <c r="N16" s="33" t="s">
        <v>791</v>
      </c>
    </row>
    <row r="17" spans="1:14" ht="21.75" customHeight="1" x14ac:dyDescent="0.3">
      <c r="A17" s="25">
        <v>13</v>
      </c>
      <c r="B17" s="70" t="s">
        <v>792</v>
      </c>
      <c r="C17" s="73" t="s">
        <v>793</v>
      </c>
      <c r="D17" s="27" t="s">
        <v>112</v>
      </c>
      <c r="E17" s="30">
        <v>48</v>
      </c>
      <c r="F17" s="30" t="s">
        <v>794</v>
      </c>
      <c r="G17" s="30" t="s">
        <v>685</v>
      </c>
      <c r="H17" s="74">
        <v>0</v>
      </c>
      <c r="I17" s="74" t="s">
        <v>607</v>
      </c>
      <c r="J17" s="74" t="s">
        <v>752</v>
      </c>
      <c r="K17" s="4" t="s">
        <v>795</v>
      </c>
      <c r="L17" s="4" t="s">
        <v>790</v>
      </c>
      <c r="M17" s="30" t="s">
        <v>734</v>
      </c>
      <c r="N17" s="74" t="s">
        <v>796</v>
      </c>
    </row>
    <row r="18" spans="1:14" ht="21.75" customHeight="1" x14ac:dyDescent="0.3">
      <c r="A18" s="25">
        <v>14</v>
      </c>
      <c r="B18" s="70" t="s">
        <v>797</v>
      </c>
      <c r="C18" s="72" t="s">
        <v>798</v>
      </c>
      <c r="D18" s="27" t="s">
        <v>116</v>
      </c>
      <c r="E18" s="30">
        <v>60</v>
      </c>
      <c r="F18" s="30" t="s">
        <v>799</v>
      </c>
      <c r="G18" s="30" t="s">
        <v>800</v>
      </c>
      <c r="H18" s="32">
        <v>19</v>
      </c>
      <c r="I18" s="32" t="s">
        <v>582</v>
      </c>
      <c r="J18" s="32" t="s">
        <v>718</v>
      </c>
      <c r="K18" s="4" t="s">
        <v>801</v>
      </c>
      <c r="L18" s="4" t="s">
        <v>802</v>
      </c>
      <c r="M18" s="30" t="s">
        <v>414</v>
      </c>
      <c r="N18" s="33" t="s">
        <v>803</v>
      </c>
    </row>
    <row r="19" spans="1:14" ht="21.75" customHeight="1" x14ac:dyDescent="0.3">
      <c r="A19" s="25">
        <v>15</v>
      </c>
      <c r="B19" s="70" t="s">
        <v>804</v>
      </c>
      <c r="C19" s="73" t="s">
        <v>805</v>
      </c>
      <c r="D19" s="27" t="s">
        <v>120</v>
      </c>
      <c r="E19" s="30">
        <v>24</v>
      </c>
      <c r="F19" s="30" t="s">
        <v>806</v>
      </c>
      <c r="G19" s="30" t="s">
        <v>807</v>
      </c>
      <c r="H19" s="74">
        <v>0</v>
      </c>
      <c r="I19" s="74" t="s">
        <v>607</v>
      </c>
      <c r="J19" s="74" t="s">
        <v>752</v>
      </c>
      <c r="K19" s="4" t="s">
        <v>680</v>
      </c>
      <c r="L19" s="4" t="s">
        <v>808</v>
      </c>
      <c r="M19" s="30" t="s">
        <v>734</v>
      </c>
      <c r="N19" s="74" t="s">
        <v>809</v>
      </c>
    </row>
    <row r="20" spans="1:14" ht="21.75" customHeight="1" x14ac:dyDescent="0.3">
      <c r="A20" s="25">
        <v>16</v>
      </c>
      <c r="B20" s="70" t="s">
        <v>810</v>
      </c>
      <c r="C20" s="72" t="s">
        <v>811</v>
      </c>
      <c r="D20" s="27" t="s">
        <v>124</v>
      </c>
      <c r="E20" s="30">
        <v>48</v>
      </c>
      <c r="F20" s="30" t="s">
        <v>769</v>
      </c>
      <c r="G20" s="30" t="s">
        <v>812</v>
      </c>
      <c r="H20" s="32">
        <v>32</v>
      </c>
      <c r="I20" s="32" t="s">
        <v>582</v>
      </c>
      <c r="J20" s="32" t="s">
        <v>718</v>
      </c>
      <c r="K20" s="4" t="s">
        <v>813</v>
      </c>
      <c r="L20" s="4" t="s">
        <v>814</v>
      </c>
      <c r="M20" s="30" t="s">
        <v>414</v>
      </c>
      <c r="N20" s="33" t="s">
        <v>815</v>
      </c>
    </row>
    <row r="21" spans="1:14" ht="21.75" customHeight="1" x14ac:dyDescent="0.3">
      <c r="A21" s="25">
        <v>17</v>
      </c>
      <c r="B21" s="70" t="s">
        <v>816</v>
      </c>
      <c r="C21" s="71" t="s">
        <v>817</v>
      </c>
      <c r="D21" s="27" t="s">
        <v>128</v>
      </c>
      <c r="E21" s="30">
        <v>36</v>
      </c>
      <c r="F21" s="30" t="s">
        <v>818</v>
      </c>
      <c r="G21" s="30" t="s">
        <v>819</v>
      </c>
      <c r="H21" s="32">
        <v>14</v>
      </c>
      <c r="I21" s="32" t="s">
        <v>582</v>
      </c>
      <c r="J21" s="32" t="s">
        <v>718</v>
      </c>
      <c r="K21" s="4" t="s">
        <v>820</v>
      </c>
      <c r="L21" s="4" t="s">
        <v>821</v>
      </c>
      <c r="M21" s="30" t="s">
        <v>414</v>
      </c>
      <c r="N21" s="27" t="s">
        <v>822</v>
      </c>
    </row>
    <row r="22" spans="1:14" ht="21.75" customHeight="1" x14ac:dyDescent="0.3">
      <c r="A22" s="25">
        <v>18</v>
      </c>
      <c r="B22" s="70" t="s">
        <v>823</v>
      </c>
      <c r="C22" s="78" t="s">
        <v>824</v>
      </c>
      <c r="D22" s="27" t="s">
        <v>134</v>
      </c>
      <c r="E22" s="30">
        <v>24</v>
      </c>
      <c r="F22" s="30" t="s">
        <v>825</v>
      </c>
      <c r="G22" s="30" t="s">
        <v>619</v>
      </c>
      <c r="H22" s="79">
        <v>2</v>
      </c>
      <c r="I22" s="79" t="s">
        <v>607</v>
      </c>
      <c r="J22" s="79" t="s">
        <v>731</v>
      </c>
      <c r="K22" s="4" t="s">
        <v>826</v>
      </c>
      <c r="L22" s="4" t="s">
        <v>827</v>
      </c>
      <c r="M22" s="30" t="s">
        <v>734</v>
      </c>
      <c r="N22" s="79" t="s">
        <v>828</v>
      </c>
    </row>
    <row r="23" spans="1:14" ht="21.75" customHeight="1" x14ac:dyDescent="0.3">
      <c r="A23" s="112" t="s">
        <v>829</v>
      </c>
      <c r="B23" s="112"/>
      <c r="C23" s="112"/>
      <c r="D23" s="112"/>
      <c r="E23" s="112"/>
      <c r="F23" s="80">
        <f>COUNTIF(I5:I22,"Low Stock")</f>
        <v>9</v>
      </c>
      <c r="G23" s="77" t="s">
        <v>830</v>
      </c>
    </row>
  </sheetData>
  <mergeCells count="3">
    <mergeCell ref="A1:N2"/>
    <mergeCell ref="A3:N3"/>
    <mergeCell ref="A23:E2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D4ED8"/>
  </sheetPr>
  <dimension ref="A1:J26"/>
  <sheetViews>
    <sheetView showGridLines="0" workbookViewId="0">
      <pane xSplit="2" ySplit="4" topLeftCell="C5" activePane="bottomRight" state="frozen"/>
      <selection pane="topRight" activeCell="C1" sqref="C1"/>
      <selection pane="bottomLeft" activeCell="A5" sqref="A5"/>
      <selection pane="bottomRight" sqref="A1:J2"/>
    </sheetView>
  </sheetViews>
  <sheetFormatPr defaultColWidth="8.6640625" defaultRowHeight="14.4" x14ac:dyDescent="0.3"/>
  <cols>
    <col min="1" max="1" width="5" customWidth="1"/>
    <col min="2" max="2" width="14" customWidth="1"/>
    <col min="3" max="3" width="13" customWidth="1"/>
    <col min="4" max="4" width="14" customWidth="1"/>
    <col min="5" max="5" width="26" customWidth="1"/>
    <col min="6" max="8" width="13" customWidth="1"/>
    <col min="9" max="9" width="22" customWidth="1"/>
    <col min="10" max="10" width="24" customWidth="1"/>
  </cols>
  <sheetData>
    <row r="1" spans="1:10" x14ac:dyDescent="0.3">
      <c r="A1" s="101" t="s">
        <v>831</v>
      </c>
      <c r="B1" s="101"/>
      <c r="C1" s="101"/>
      <c r="D1" s="101"/>
      <c r="E1" s="101"/>
      <c r="F1" s="101"/>
      <c r="G1" s="101"/>
      <c r="H1" s="101"/>
      <c r="I1" s="101"/>
      <c r="J1" s="101"/>
    </row>
    <row r="2" spans="1:10" x14ac:dyDescent="0.3">
      <c r="A2" s="101"/>
      <c r="B2" s="101"/>
      <c r="C2" s="101"/>
      <c r="D2" s="101"/>
      <c r="E2" s="101"/>
      <c r="F2" s="101"/>
      <c r="G2" s="101"/>
      <c r="H2" s="101"/>
      <c r="I2" s="101"/>
      <c r="J2" s="101"/>
    </row>
    <row r="3" spans="1:10" x14ac:dyDescent="0.3">
      <c r="A3" s="102" t="s">
        <v>832</v>
      </c>
      <c r="B3" s="102"/>
      <c r="C3" s="102"/>
      <c r="D3" s="102"/>
      <c r="E3" s="102"/>
      <c r="F3" s="102"/>
      <c r="G3" s="102"/>
      <c r="H3" s="102"/>
      <c r="I3" s="102"/>
      <c r="J3" s="102"/>
    </row>
    <row r="4" spans="1:10" ht="33.75" customHeight="1" x14ac:dyDescent="0.3">
      <c r="A4" s="24" t="s">
        <v>69</v>
      </c>
      <c r="B4" s="24" t="s">
        <v>833</v>
      </c>
      <c r="C4" s="24" t="s">
        <v>834</v>
      </c>
      <c r="D4" s="24" t="s">
        <v>70</v>
      </c>
      <c r="E4" s="24" t="s">
        <v>835</v>
      </c>
      <c r="F4" s="24" t="s">
        <v>72</v>
      </c>
      <c r="G4" s="24" t="s">
        <v>836</v>
      </c>
      <c r="H4" s="24" t="s">
        <v>837</v>
      </c>
      <c r="I4" s="24" t="s">
        <v>838</v>
      </c>
      <c r="J4" s="24" t="s">
        <v>81</v>
      </c>
    </row>
    <row r="5" spans="1:10" ht="18" customHeight="1" x14ac:dyDescent="0.3">
      <c r="A5" s="25">
        <v>1</v>
      </c>
      <c r="B5" s="4" t="s">
        <v>583</v>
      </c>
      <c r="C5" s="4" t="s">
        <v>839</v>
      </c>
      <c r="D5" s="34" t="s">
        <v>94</v>
      </c>
      <c r="E5" s="34" t="s">
        <v>94</v>
      </c>
      <c r="F5" s="34" t="s">
        <v>95</v>
      </c>
      <c r="G5" s="81" t="s">
        <v>97</v>
      </c>
      <c r="H5" s="31">
        <v>1.6</v>
      </c>
      <c r="I5" s="34" t="s">
        <v>840</v>
      </c>
      <c r="J5" s="82" t="s">
        <v>841</v>
      </c>
    </row>
    <row r="6" spans="1:10" ht="18" customHeight="1" x14ac:dyDescent="0.3">
      <c r="A6" s="25">
        <v>2</v>
      </c>
      <c r="B6" s="36" t="s">
        <v>583</v>
      </c>
      <c r="C6" s="36" t="s">
        <v>839</v>
      </c>
      <c r="D6" s="34" t="s">
        <v>128</v>
      </c>
      <c r="E6" s="34" t="s">
        <v>129</v>
      </c>
      <c r="F6" s="34" t="s">
        <v>95</v>
      </c>
      <c r="G6" s="81" t="s">
        <v>97</v>
      </c>
      <c r="H6" s="31">
        <v>1.2</v>
      </c>
      <c r="I6" s="34" t="s">
        <v>842</v>
      </c>
      <c r="J6" s="82" t="s">
        <v>841</v>
      </c>
    </row>
    <row r="7" spans="1:10" ht="18" customHeight="1" x14ac:dyDescent="0.3">
      <c r="A7" s="25">
        <v>3</v>
      </c>
      <c r="B7" s="4" t="s">
        <v>843</v>
      </c>
      <c r="C7" s="4" t="s">
        <v>844</v>
      </c>
      <c r="D7" s="28" t="s">
        <v>83</v>
      </c>
      <c r="E7" s="28" t="s">
        <v>84</v>
      </c>
      <c r="F7" s="28" t="s">
        <v>85</v>
      </c>
      <c r="G7" s="83" t="s">
        <v>87</v>
      </c>
      <c r="H7" s="31">
        <v>0.6</v>
      </c>
      <c r="I7" s="28" t="s">
        <v>845</v>
      </c>
      <c r="J7" s="82" t="s">
        <v>841</v>
      </c>
    </row>
    <row r="8" spans="1:10" ht="18" customHeight="1" x14ac:dyDescent="0.3">
      <c r="A8" s="25">
        <v>4</v>
      </c>
      <c r="B8" s="36" t="s">
        <v>843</v>
      </c>
      <c r="C8" s="36" t="s">
        <v>844</v>
      </c>
      <c r="D8" s="28" t="s">
        <v>112</v>
      </c>
      <c r="E8" s="28" t="s">
        <v>113</v>
      </c>
      <c r="F8" s="28" t="s">
        <v>85</v>
      </c>
      <c r="G8" s="83" t="s">
        <v>87</v>
      </c>
      <c r="H8" s="31">
        <v>0.5</v>
      </c>
      <c r="I8" s="28" t="s">
        <v>846</v>
      </c>
      <c r="J8" s="82" t="s">
        <v>841</v>
      </c>
    </row>
    <row r="9" spans="1:10" ht="18" customHeight="1" x14ac:dyDescent="0.3">
      <c r="A9" s="25">
        <v>5</v>
      </c>
      <c r="B9" s="4" t="s">
        <v>847</v>
      </c>
      <c r="C9" s="4" t="s">
        <v>844</v>
      </c>
      <c r="D9" s="28" t="s">
        <v>83</v>
      </c>
      <c r="E9" s="28" t="s">
        <v>84</v>
      </c>
      <c r="F9" s="28" t="s">
        <v>85</v>
      </c>
      <c r="G9" s="83" t="s">
        <v>87</v>
      </c>
      <c r="H9" s="31">
        <v>0.6</v>
      </c>
      <c r="I9" s="28" t="s">
        <v>845</v>
      </c>
      <c r="J9" s="82" t="s">
        <v>841</v>
      </c>
    </row>
    <row r="10" spans="1:10" ht="18" customHeight="1" x14ac:dyDescent="0.3">
      <c r="A10" s="25">
        <v>6</v>
      </c>
      <c r="B10" s="36" t="s">
        <v>847</v>
      </c>
      <c r="C10" s="36" t="s">
        <v>844</v>
      </c>
      <c r="D10" s="28" t="s">
        <v>112</v>
      </c>
      <c r="E10" s="28" t="s">
        <v>113</v>
      </c>
      <c r="F10" s="28" t="s">
        <v>85</v>
      </c>
      <c r="G10" s="83" t="s">
        <v>87</v>
      </c>
      <c r="H10" s="31">
        <v>0.5</v>
      </c>
      <c r="I10" s="28" t="s">
        <v>846</v>
      </c>
      <c r="J10" s="82" t="s">
        <v>841</v>
      </c>
    </row>
    <row r="11" spans="1:10" ht="18" customHeight="1" x14ac:dyDescent="0.3">
      <c r="A11" s="25">
        <v>7</v>
      </c>
      <c r="B11" s="4" t="s">
        <v>848</v>
      </c>
      <c r="C11" s="4" t="s">
        <v>844</v>
      </c>
      <c r="D11" s="28" t="s">
        <v>83</v>
      </c>
      <c r="E11" s="28" t="s">
        <v>84</v>
      </c>
      <c r="F11" s="28" t="s">
        <v>85</v>
      </c>
      <c r="G11" s="83" t="s">
        <v>87</v>
      </c>
      <c r="H11" s="31">
        <v>0.6</v>
      </c>
      <c r="I11" s="28" t="s">
        <v>845</v>
      </c>
      <c r="J11" s="82" t="s">
        <v>841</v>
      </c>
    </row>
    <row r="12" spans="1:10" ht="18" customHeight="1" x14ac:dyDescent="0.3">
      <c r="A12" s="25">
        <v>8</v>
      </c>
      <c r="B12" s="36" t="s">
        <v>848</v>
      </c>
      <c r="C12" s="36" t="s">
        <v>844</v>
      </c>
      <c r="D12" s="28" t="s">
        <v>112</v>
      </c>
      <c r="E12" s="28" t="s">
        <v>113</v>
      </c>
      <c r="F12" s="28" t="s">
        <v>85</v>
      </c>
      <c r="G12" s="83" t="s">
        <v>87</v>
      </c>
      <c r="H12" s="31">
        <v>0.5</v>
      </c>
      <c r="I12" s="28" t="s">
        <v>846</v>
      </c>
      <c r="J12" s="82" t="s">
        <v>841</v>
      </c>
    </row>
    <row r="13" spans="1:10" ht="18" customHeight="1" x14ac:dyDescent="0.3">
      <c r="A13" s="25">
        <v>9</v>
      </c>
      <c r="B13" s="4" t="s">
        <v>849</v>
      </c>
      <c r="C13" s="4" t="s">
        <v>844</v>
      </c>
      <c r="D13" s="28" t="s">
        <v>83</v>
      </c>
      <c r="E13" s="28" t="s">
        <v>84</v>
      </c>
      <c r="F13" s="28" t="s">
        <v>85</v>
      </c>
      <c r="G13" s="83" t="s">
        <v>87</v>
      </c>
      <c r="H13" s="31">
        <v>0.6</v>
      </c>
      <c r="I13" s="28" t="s">
        <v>845</v>
      </c>
      <c r="J13" s="82" t="s">
        <v>841</v>
      </c>
    </row>
    <row r="14" spans="1:10" ht="18" customHeight="1" x14ac:dyDescent="0.3">
      <c r="A14" s="25">
        <v>10</v>
      </c>
      <c r="B14" s="36" t="s">
        <v>849</v>
      </c>
      <c r="C14" s="36" t="s">
        <v>844</v>
      </c>
      <c r="D14" s="28" t="s">
        <v>112</v>
      </c>
      <c r="E14" s="28" t="s">
        <v>113</v>
      </c>
      <c r="F14" s="28" t="s">
        <v>85</v>
      </c>
      <c r="G14" s="83" t="s">
        <v>87</v>
      </c>
      <c r="H14" s="31">
        <v>0.5</v>
      </c>
      <c r="I14" s="28" t="s">
        <v>846</v>
      </c>
      <c r="J14" s="82" t="s">
        <v>841</v>
      </c>
    </row>
    <row r="15" spans="1:10" ht="18" customHeight="1" x14ac:dyDescent="0.3">
      <c r="A15" s="25">
        <v>11</v>
      </c>
      <c r="B15" s="4" t="s">
        <v>730</v>
      </c>
      <c r="C15" s="4" t="s">
        <v>844</v>
      </c>
      <c r="D15" s="28" t="s">
        <v>83</v>
      </c>
      <c r="E15" s="28" t="s">
        <v>84</v>
      </c>
      <c r="F15" s="28" t="s">
        <v>85</v>
      </c>
      <c r="G15" s="83" t="s">
        <v>87</v>
      </c>
      <c r="H15" s="31">
        <v>0.6</v>
      </c>
      <c r="I15" s="28" t="s">
        <v>845</v>
      </c>
      <c r="J15" s="82" t="s">
        <v>841</v>
      </c>
    </row>
    <row r="16" spans="1:10" ht="18" customHeight="1" x14ac:dyDescent="0.3">
      <c r="A16" s="25">
        <v>12</v>
      </c>
      <c r="B16" s="36" t="s">
        <v>730</v>
      </c>
      <c r="C16" s="36" t="s">
        <v>844</v>
      </c>
      <c r="D16" s="28" t="s">
        <v>112</v>
      </c>
      <c r="E16" s="28" t="s">
        <v>113</v>
      </c>
      <c r="F16" s="28" t="s">
        <v>85</v>
      </c>
      <c r="G16" s="83" t="s">
        <v>87</v>
      </c>
      <c r="H16" s="31">
        <v>0.5</v>
      </c>
      <c r="I16" s="28" t="s">
        <v>846</v>
      </c>
      <c r="J16" s="82" t="s">
        <v>841</v>
      </c>
    </row>
    <row r="17" spans="1:10" ht="18" customHeight="1" x14ac:dyDescent="0.3">
      <c r="A17" s="25">
        <v>13</v>
      </c>
      <c r="B17" s="4" t="s">
        <v>730</v>
      </c>
      <c r="C17" s="4" t="s">
        <v>844</v>
      </c>
      <c r="D17" s="34" t="s">
        <v>94</v>
      </c>
      <c r="E17" s="34" t="s">
        <v>94</v>
      </c>
      <c r="F17" s="34" t="s">
        <v>95</v>
      </c>
      <c r="G17" s="81" t="s">
        <v>97</v>
      </c>
      <c r="H17" s="31">
        <v>1.6</v>
      </c>
      <c r="I17" s="34" t="s">
        <v>840</v>
      </c>
      <c r="J17" s="82" t="s">
        <v>841</v>
      </c>
    </row>
    <row r="18" spans="1:10" ht="18" customHeight="1" x14ac:dyDescent="0.3">
      <c r="A18" s="25">
        <v>14</v>
      </c>
      <c r="B18" s="36" t="s">
        <v>730</v>
      </c>
      <c r="C18" s="36" t="s">
        <v>844</v>
      </c>
      <c r="D18" s="34" t="s">
        <v>128</v>
      </c>
      <c r="E18" s="34" t="s">
        <v>129</v>
      </c>
      <c r="F18" s="34" t="s">
        <v>95</v>
      </c>
      <c r="G18" s="81" t="s">
        <v>97</v>
      </c>
      <c r="H18" s="31">
        <v>1.2</v>
      </c>
      <c r="I18" s="34" t="s">
        <v>842</v>
      </c>
      <c r="J18" s="82" t="s">
        <v>841</v>
      </c>
    </row>
    <row r="19" spans="1:10" ht="18" customHeight="1" x14ac:dyDescent="0.3">
      <c r="A19" s="25">
        <v>15</v>
      </c>
      <c r="B19" s="4" t="s">
        <v>850</v>
      </c>
      <c r="C19" s="4" t="s">
        <v>844</v>
      </c>
      <c r="D19" s="28" t="s">
        <v>83</v>
      </c>
      <c r="E19" s="28" t="s">
        <v>84</v>
      </c>
      <c r="F19" s="28" t="s">
        <v>85</v>
      </c>
      <c r="G19" s="83" t="s">
        <v>87</v>
      </c>
      <c r="H19" s="31">
        <v>0.6</v>
      </c>
      <c r="I19" s="28" t="s">
        <v>845</v>
      </c>
      <c r="J19" s="82" t="s">
        <v>841</v>
      </c>
    </row>
    <row r="20" spans="1:10" ht="18" customHeight="1" x14ac:dyDescent="0.3">
      <c r="A20" s="25">
        <v>16</v>
      </c>
      <c r="B20" s="36" t="s">
        <v>850</v>
      </c>
      <c r="C20" s="36" t="s">
        <v>844</v>
      </c>
      <c r="D20" s="28" t="s">
        <v>112</v>
      </c>
      <c r="E20" s="28" t="s">
        <v>113</v>
      </c>
      <c r="F20" s="28" t="s">
        <v>85</v>
      </c>
      <c r="G20" s="83" t="s">
        <v>87</v>
      </c>
      <c r="H20" s="31">
        <v>0.5</v>
      </c>
      <c r="I20" s="28" t="s">
        <v>846</v>
      </c>
      <c r="J20" s="82" t="s">
        <v>841</v>
      </c>
    </row>
    <row r="21" spans="1:10" ht="18" customHeight="1" x14ac:dyDescent="0.3">
      <c r="A21" s="25">
        <v>17</v>
      </c>
      <c r="B21" s="4" t="s">
        <v>851</v>
      </c>
      <c r="C21" s="4" t="s">
        <v>844</v>
      </c>
      <c r="D21" s="28" t="s">
        <v>83</v>
      </c>
      <c r="E21" s="28" t="s">
        <v>84</v>
      </c>
      <c r="F21" s="28" t="s">
        <v>85</v>
      </c>
      <c r="G21" s="83" t="s">
        <v>87</v>
      </c>
      <c r="H21" s="31">
        <v>0.6</v>
      </c>
      <c r="I21" s="28" t="s">
        <v>845</v>
      </c>
      <c r="J21" s="82" t="s">
        <v>841</v>
      </c>
    </row>
    <row r="22" spans="1:10" ht="18" customHeight="1" x14ac:dyDescent="0.3">
      <c r="A22" s="25">
        <v>18</v>
      </c>
      <c r="B22" s="36" t="s">
        <v>851</v>
      </c>
      <c r="C22" s="36" t="s">
        <v>844</v>
      </c>
      <c r="D22" s="28" t="s">
        <v>112</v>
      </c>
      <c r="E22" s="28" t="s">
        <v>113</v>
      </c>
      <c r="F22" s="28" t="s">
        <v>85</v>
      </c>
      <c r="G22" s="83" t="s">
        <v>87</v>
      </c>
      <c r="H22" s="31">
        <v>0.5</v>
      </c>
      <c r="I22" s="28" t="s">
        <v>846</v>
      </c>
      <c r="J22" s="82" t="s">
        <v>841</v>
      </c>
    </row>
    <row r="23" spans="1:10" ht="18" customHeight="1" x14ac:dyDescent="0.3">
      <c r="A23" s="25">
        <v>19</v>
      </c>
      <c r="B23" s="4" t="s">
        <v>852</v>
      </c>
      <c r="C23" s="4" t="s">
        <v>844</v>
      </c>
      <c r="D23" s="28" t="s">
        <v>83</v>
      </c>
      <c r="E23" s="28" t="s">
        <v>84</v>
      </c>
      <c r="F23" s="28" t="s">
        <v>85</v>
      </c>
      <c r="G23" s="83" t="s">
        <v>87</v>
      </c>
      <c r="H23" s="31">
        <v>0.6</v>
      </c>
      <c r="I23" s="28" t="s">
        <v>845</v>
      </c>
      <c r="J23" s="82" t="s">
        <v>841</v>
      </c>
    </row>
    <row r="24" spans="1:10" ht="18" customHeight="1" x14ac:dyDescent="0.3">
      <c r="A24" s="25">
        <v>20</v>
      </c>
      <c r="B24" s="36" t="s">
        <v>852</v>
      </c>
      <c r="C24" s="36" t="s">
        <v>844</v>
      </c>
      <c r="D24" s="28" t="s">
        <v>112</v>
      </c>
      <c r="E24" s="28" t="s">
        <v>113</v>
      </c>
      <c r="F24" s="28" t="s">
        <v>85</v>
      </c>
      <c r="G24" s="83" t="s">
        <v>87</v>
      </c>
      <c r="H24" s="31">
        <v>0.5</v>
      </c>
      <c r="I24" s="28" t="s">
        <v>846</v>
      </c>
      <c r="J24" s="82" t="s">
        <v>841</v>
      </c>
    </row>
    <row r="25" spans="1:10" ht="18" customHeight="1" x14ac:dyDescent="0.3">
      <c r="A25" s="25">
        <v>21</v>
      </c>
      <c r="B25" s="4" t="s">
        <v>853</v>
      </c>
      <c r="C25" s="4" t="s">
        <v>844</v>
      </c>
      <c r="D25" s="28" t="s">
        <v>83</v>
      </c>
      <c r="E25" s="28" t="s">
        <v>84</v>
      </c>
      <c r="F25" s="28" t="s">
        <v>85</v>
      </c>
      <c r="G25" s="83" t="s">
        <v>87</v>
      </c>
      <c r="H25" s="31">
        <v>0.6</v>
      </c>
      <c r="I25" s="28" t="s">
        <v>845</v>
      </c>
      <c r="J25" s="82" t="s">
        <v>841</v>
      </c>
    </row>
    <row r="26" spans="1:10" ht="18" customHeight="1" x14ac:dyDescent="0.3">
      <c r="A26" s="25">
        <v>22</v>
      </c>
      <c r="B26" s="36" t="s">
        <v>853</v>
      </c>
      <c r="C26" s="36" t="s">
        <v>844</v>
      </c>
      <c r="D26" s="28" t="s">
        <v>112</v>
      </c>
      <c r="E26" s="28" t="s">
        <v>113</v>
      </c>
      <c r="F26" s="28" t="s">
        <v>85</v>
      </c>
      <c r="G26" s="83" t="s">
        <v>87</v>
      </c>
      <c r="H26" s="31">
        <v>0.5</v>
      </c>
      <c r="I26" s="28" t="s">
        <v>846</v>
      </c>
      <c r="J26" s="82" t="s">
        <v>841</v>
      </c>
    </row>
  </sheetData>
  <mergeCells count="2">
    <mergeCell ref="A1:J2"/>
    <mergeCell ref="A3:J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B0082"/>
  </sheetPr>
  <dimension ref="A1:J12"/>
  <sheetViews>
    <sheetView showGridLines="0" workbookViewId="0">
      <pane xSplit="2" ySplit="4" topLeftCell="C5" activePane="bottomRight" state="frozen"/>
      <selection pane="topRight" activeCell="C1" sqref="C1"/>
      <selection pane="bottomLeft" activeCell="A5" sqref="A5"/>
      <selection pane="bottomRight" activeCell="E42" sqref="E42"/>
    </sheetView>
  </sheetViews>
  <sheetFormatPr defaultColWidth="8.6640625" defaultRowHeight="14.4" x14ac:dyDescent="0.3"/>
  <cols>
    <col min="1" max="1" width="4" customWidth="1"/>
    <col min="2" max="2" width="14" customWidth="1"/>
    <col min="3" max="3" width="24" customWidth="1"/>
    <col min="4" max="4" width="16" customWidth="1"/>
    <col min="5" max="5" width="60.44140625" customWidth="1"/>
    <col min="6" max="6" width="28" customWidth="1"/>
    <col min="7" max="7" width="10" customWidth="1"/>
    <col min="8" max="8" width="16" customWidth="1"/>
    <col min="9" max="9" width="14" customWidth="1"/>
    <col min="10" max="10" width="50" bestFit="1" customWidth="1"/>
  </cols>
  <sheetData>
    <row r="1" spans="1:10" x14ac:dyDescent="0.3">
      <c r="A1" s="101" t="s">
        <v>854</v>
      </c>
      <c r="B1" s="101"/>
      <c r="C1" s="101"/>
      <c r="D1" s="101"/>
      <c r="E1" s="101"/>
      <c r="F1" s="101"/>
      <c r="G1" s="101"/>
      <c r="H1" s="101"/>
      <c r="I1" s="101"/>
      <c r="J1" s="101"/>
    </row>
    <row r="2" spans="1:10" x14ac:dyDescent="0.3">
      <c r="A2" s="101"/>
      <c r="B2" s="101"/>
      <c r="C2" s="101"/>
      <c r="D2" s="101"/>
      <c r="E2" s="101"/>
      <c r="F2" s="101"/>
      <c r="G2" s="101"/>
      <c r="H2" s="101"/>
      <c r="I2" s="101"/>
      <c r="J2" s="101"/>
    </row>
    <row r="3" spans="1:10" x14ac:dyDescent="0.3">
      <c r="A3" s="102" t="s">
        <v>855</v>
      </c>
      <c r="B3" s="102"/>
      <c r="C3" s="102"/>
      <c r="D3" s="102"/>
      <c r="E3" s="102"/>
      <c r="F3" s="102"/>
      <c r="G3" s="102"/>
      <c r="H3" s="102"/>
      <c r="I3" s="102"/>
      <c r="J3" s="102"/>
    </row>
    <row r="4" spans="1:10" ht="36" customHeight="1" x14ac:dyDescent="0.3">
      <c r="A4" s="24" t="s">
        <v>69</v>
      </c>
      <c r="B4" s="24" t="s">
        <v>856</v>
      </c>
      <c r="C4" s="24" t="s">
        <v>857</v>
      </c>
      <c r="D4" s="24" t="s">
        <v>858</v>
      </c>
      <c r="E4" s="24" t="s">
        <v>859</v>
      </c>
      <c r="F4" s="24" t="s">
        <v>860</v>
      </c>
      <c r="G4" s="24" t="s">
        <v>575</v>
      </c>
      <c r="H4" s="24" t="s">
        <v>861</v>
      </c>
      <c r="I4" s="24" t="s">
        <v>862</v>
      </c>
      <c r="J4" s="24" t="s">
        <v>81</v>
      </c>
    </row>
    <row r="5" spans="1:10" ht="21.75" customHeight="1" x14ac:dyDescent="0.3">
      <c r="A5" s="25">
        <v>1</v>
      </c>
      <c r="B5" s="84" t="s">
        <v>863</v>
      </c>
      <c r="C5" s="71" t="s">
        <v>864</v>
      </c>
      <c r="D5" s="85" t="s">
        <v>865</v>
      </c>
      <c r="E5" s="4" t="s">
        <v>866</v>
      </c>
      <c r="F5" s="4" t="s">
        <v>867</v>
      </c>
      <c r="G5" s="32" t="s">
        <v>868</v>
      </c>
      <c r="H5" s="4" t="s">
        <v>869</v>
      </c>
      <c r="I5" s="4" t="s">
        <v>870</v>
      </c>
      <c r="J5" s="4" t="s">
        <v>871</v>
      </c>
    </row>
    <row r="6" spans="1:10" ht="21.75" customHeight="1" x14ac:dyDescent="0.3">
      <c r="A6" s="25">
        <v>2</v>
      </c>
      <c r="B6" s="84" t="s">
        <v>872</v>
      </c>
      <c r="C6" s="72" t="s">
        <v>873</v>
      </c>
      <c r="D6" s="26" t="s">
        <v>874</v>
      </c>
      <c r="E6" s="36" t="s">
        <v>875</v>
      </c>
      <c r="F6" s="4" t="s">
        <v>876</v>
      </c>
      <c r="G6" s="32" t="s">
        <v>868</v>
      </c>
      <c r="H6" s="4" t="s">
        <v>877</v>
      </c>
      <c r="I6" s="4" t="s">
        <v>878</v>
      </c>
      <c r="J6" s="36" t="s">
        <v>879</v>
      </c>
    </row>
    <row r="7" spans="1:10" ht="21.75" customHeight="1" x14ac:dyDescent="0.3">
      <c r="A7" s="25">
        <v>3</v>
      </c>
      <c r="B7" s="84" t="s">
        <v>880</v>
      </c>
      <c r="C7" s="71" t="s">
        <v>881</v>
      </c>
      <c r="D7" s="26" t="s">
        <v>874</v>
      </c>
      <c r="E7" s="4" t="s">
        <v>875</v>
      </c>
      <c r="F7" s="4" t="s">
        <v>882</v>
      </c>
      <c r="G7" s="32" t="s">
        <v>868</v>
      </c>
      <c r="H7" s="4" t="s">
        <v>883</v>
      </c>
      <c r="I7" s="4" t="s">
        <v>878</v>
      </c>
      <c r="J7" s="4" t="s">
        <v>884</v>
      </c>
    </row>
    <row r="8" spans="1:10" ht="21.75" customHeight="1" x14ac:dyDescent="0.3">
      <c r="A8" s="25">
        <v>4</v>
      </c>
      <c r="B8" s="84" t="s">
        <v>885</v>
      </c>
      <c r="C8" s="72" t="s">
        <v>886</v>
      </c>
      <c r="D8" s="32" t="s">
        <v>887</v>
      </c>
      <c r="E8" s="36" t="s">
        <v>888</v>
      </c>
      <c r="F8" s="4" t="s">
        <v>889</v>
      </c>
      <c r="G8" s="32" t="s">
        <v>868</v>
      </c>
      <c r="H8" s="4" t="s">
        <v>869</v>
      </c>
      <c r="I8" s="4" t="s">
        <v>878</v>
      </c>
      <c r="J8" s="36" t="s">
        <v>890</v>
      </c>
    </row>
    <row r="9" spans="1:10" ht="21.75" customHeight="1" x14ac:dyDescent="0.3">
      <c r="A9" s="25">
        <v>5</v>
      </c>
      <c r="B9" s="84" t="s">
        <v>891</v>
      </c>
      <c r="C9" s="71" t="s">
        <v>892</v>
      </c>
      <c r="D9" s="32" t="s">
        <v>887</v>
      </c>
      <c r="E9" s="4" t="s">
        <v>888</v>
      </c>
      <c r="F9" s="4" t="s">
        <v>893</v>
      </c>
      <c r="G9" s="32" t="s">
        <v>868</v>
      </c>
      <c r="H9" s="4" t="s">
        <v>877</v>
      </c>
      <c r="I9" s="4" t="s">
        <v>878</v>
      </c>
      <c r="J9" s="4" t="s">
        <v>894</v>
      </c>
    </row>
    <row r="10" spans="1:10" ht="21.75" customHeight="1" x14ac:dyDescent="0.3">
      <c r="A10" s="25">
        <v>6</v>
      </c>
      <c r="B10" s="84" t="s">
        <v>895</v>
      </c>
      <c r="C10" s="72" t="s">
        <v>896</v>
      </c>
      <c r="D10" s="32" t="s">
        <v>887</v>
      </c>
      <c r="E10" s="36" t="s">
        <v>888</v>
      </c>
      <c r="F10" s="4" t="s">
        <v>897</v>
      </c>
      <c r="G10" s="74" t="s">
        <v>898</v>
      </c>
      <c r="H10" s="4" t="s">
        <v>619</v>
      </c>
      <c r="I10" s="4" t="s">
        <v>899</v>
      </c>
      <c r="J10" s="36" t="s">
        <v>900</v>
      </c>
    </row>
    <row r="11" spans="1:10" ht="21.75" customHeight="1" x14ac:dyDescent="0.3">
      <c r="A11" s="25">
        <v>7</v>
      </c>
      <c r="B11" s="84" t="s">
        <v>901</v>
      </c>
      <c r="C11" s="71" t="s">
        <v>902</v>
      </c>
      <c r="D11" s="86" t="s">
        <v>903</v>
      </c>
      <c r="E11" s="4" t="s">
        <v>904</v>
      </c>
      <c r="F11" s="4" t="s">
        <v>905</v>
      </c>
      <c r="G11" s="32" t="s">
        <v>868</v>
      </c>
      <c r="H11" s="4" t="s">
        <v>906</v>
      </c>
      <c r="I11" s="4" t="s">
        <v>878</v>
      </c>
      <c r="J11" s="4" t="s">
        <v>907</v>
      </c>
    </row>
    <row r="12" spans="1:10" ht="21.75" customHeight="1" x14ac:dyDescent="0.3">
      <c r="A12" s="25">
        <v>8</v>
      </c>
      <c r="B12" s="84" t="s">
        <v>908</v>
      </c>
      <c r="C12" s="72" t="s">
        <v>909</v>
      </c>
      <c r="D12" s="28" t="s">
        <v>910</v>
      </c>
      <c r="E12" s="36" t="s">
        <v>911</v>
      </c>
      <c r="F12" s="4" t="s">
        <v>912</v>
      </c>
      <c r="G12" s="32" t="s">
        <v>868</v>
      </c>
      <c r="H12" s="4" t="s">
        <v>913</v>
      </c>
      <c r="I12" s="4" t="s">
        <v>878</v>
      </c>
      <c r="J12" s="36" t="s">
        <v>914</v>
      </c>
    </row>
  </sheetData>
  <mergeCells count="2">
    <mergeCell ref="A1:J2"/>
    <mergeCell ref="A3:J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6B8F"/>
  </sheetPr>
  <dimension ref="A1:N14"/>
  <sheetViews>
    <sheetView showGridLines="0" workbookViewId="0">
      <pane xSplit="1" ySplit="4" topLeftCell="B5" activePane="bottomRight" state="frozen"/>
      <selection pane="topRight" activeCell="B1" sqref="B1"/>
      <selection pane="bottomLeft" activeCell="A5" sqref="A5"/>
      <selection pane="bottomRight" activeCell="L7" sqref="L7"/>
    </sheetView>
  </sheetViews>
  <sheetFormatPr defaultColWidth="8.6640625" defaultRowHeight="14.4" x14ac:dyDescent="0.3"/>
  <cols>
    <col min="1" max="1" width="14" customWidth="1"/>
    <col min="2" max="2" width="12" customWidth="1"/>
    <col min="3" max="4" width="13" customWidth="1"/>
    <col min="5" max="6" width="12" customWidth="1"/>
    <col min="7" max="8" width="13" customWidth="1"/>
    <col min="9" max="9" width="14" customWidth="1"/>
    <col min="10" max="10" width="13" customWidth="1"/>
    <col min="11" max="11" width="12" customWidth="1"/>
    <col min="12" max="12" width="48.109375" bestFit="1" customWidth="1"/>
    <col min="13" max="13" width="18" customWidth="1"/>
    <col min="14" max="14" width="12.88671875" bestFit="1" customWidth="1"/>
  </cols>
  <sheetData>
    <row r="1" spans="1:14" x14ac:dyDescent="0.3">
      <c r="A1" s="101" t="s">
        <v>915</v>
      </c>
      <c r="B1" s="101"/>
      <c r="C1" s="101"/>
      <c r="D1" s="101"/>
      <c r="E1" s="101"/>
      <c r="F1" s="101"/>
      <c r="G1" s="101"/>
      <c r="H1" s="101"/>
      <c r="I1" s="101"/>
      <c r="J1" s="101"/>
      <c r="K1" s="101"/>
      <c r="L1" s="101"/>
      <c r="M1" s="101"/>
      <c r="N1" s="101"/>
    </row>
    <row r="2" spans="1:14" x14ac:dyDescent="0.3">
      <c r="A2" s="101"/>
      <c r="B2" s="101"/>
      <c r="C2" s="101"/>
      <c r="D2" s="101"/>
      <c r="E2" s="101"/>
      <c r="F2" s="101"/>
      <c r="G2" s="101"/>
      <c r="H2" s="101"/>
      <c r="I2" s="101"/>
      <c r="J2" s="101"/>
      <c r="K2" s="101"/>
      <c r="L2" s="101"/>
      <c r="M2" s="101"/>
      <c r="N2" s="101"/>
    </row>
    <row r="3" spans="1:14" x14ac:dyDescent="0.3">
      <c r="A3" s="102" t="s">
        <v>916</v>
      </c>
      <c r="B3" s="102"/>
      <c r="C3" s="102"/>
      <c r="D3" s="102"/>
      <c r="E3" s="102"/>
      <c r="F3" s="102"/>
      <c r="G3" s="102"/>
      <c r="H3" s="102"/>
      <c r="I3" s="102"/>
      <c r="J3" s="102"/>
      <c r="K3" s="102"/>
      <c r="L3" s="102"/>
      <c r="M3" s="102"/>
      <c r="N3" s="102"/>
    </row>
    <row r="4" spans="1:14" ht="36" customHeight="1" x14ac:dyDescent="0.3">
      <c r="A4" s="24" t="s">
        <v>917</v>
      </c>
      <c r="B4" s="24" t="s">
        <v>918</v>
      </c>
      <c r="C4" s="24" t="s">
        <v>70</v>
      </c>
      <c r="D4" s="24" t="s">
        <v>919</v>
      </c>
      <c r="E4" s="24" t="s">
        <v>920</v>
      </c>
      <c r="F4" s="24" t="s">
        <v>921</v>
      </c>
      <c r="G4" s="24" t="s">
        <v>922</v>
      </c>
      <c r="H4" s="24" t="s">
        <v>837</v>
      </c>
      <c r="I4" s="24" t="s">
        <v>923</v>
      </c>
      <c r="J4" s="24" t="s">
        <v>924</v>
      </c>
      <c r="K4" s="24" t="s">
        <v>925</v>
      </c>
      <c r="L4" s="24" t="s">
        <v>926</v>
      </c>
      <c r="M4" s="24" t="s">
        <v>927</v>
      </c>
      <c r="N4" s="24" t="s">
        <v>80</v>
      </c>
    </row>
    <row r="5" spans="1:14" ht="21.75" customHeight="1" x14ac:dyDescent="0.3">
      <c r="A5" s="43" t="s">
        <v>928</v>
      </c>
      <c r="B5" s="4" t="s">
        <v>929</v>
      </c>
      <c r="C5" s="87" t="s">
        <v>83</v>
      </c>
      <c r="D5" s="4" t="s">
        <v>885</v>
      </c>
      <c r="E5" s="31">
        <v>6</v>
      </c>
      <c r="F5" s="21">
        <v>6</v>
      </c>
      <c r="G5" s="32" t="s">
        <v>930</v>
      </c>
      <c r="H5" s="31">
        <v>0.6</v>
      </c>
      <c r="I5" s="32" t="s">
        <v>931</v>
      </c>
      <c r="J5" s="4" t="s">
        <v>872</v>
      </c>
      <c r="K5" s="88" t="s">
        <v>932</v>
      </c>
      <c r="L5" s="4" t="s">
        <v>933</v>
      </c>
      <c r="M5" s="30" t="s">
        <v>934</v>
      </c>
      <c r="N5" s="30" t="s">
        <v>935</v>
      </c>
    </row>
    <row r="6" spans="1:14" ht="21.75" customHeight="1" x14ac:dyDescent="0.3">
      <c r="A6" s="43" t="s">
        <v>936</v>
      </c>
      <c r="B6" s="4" t="s">
        <v>929</v>
      </c>
      <c r="C6" s="87" t="s">
        <v>112</v>
      </c>
      <c r="D6" s="4" t="s">
        <v>885</v>
      </c>
      <c r="E6" s="31">
        <v>5</v>
      </c>
      <c r="F6" s="21">
        <v>5</v>
      </c>
      <c r="G6" s="32" t="s">
        <v>930</v>
      </c>
      <c r="H6" s="31">
        <v>0.5</v>
      </c>
      <c r="I6" s="32" t="s">
        <v>931</v>
      </c>
      <c r="J6" s="4" t="s">
        <v>872</v>
      </c>
      <c r="K6" s="88" t="s">
        <v>932</v>
      </c>
      <c r="L6" s="36" t="s">
        <v>937</v>
      </c>
      <c r="M6" s="30" t="s">
        <v>938</v>
      </c>
      <c r="N6" s="30" t="s">
        <v>935</v>
      </c>
    </row>
    <row r="7" spans="1:14" ht="21.75" customHeight="1" x14ac:dyDescent="0.3">
      <c r="A7" s="43" t="s">
        <v>939</v>
      </c>
      <c r="B7" s="4" t="s">
        <v>929</v>
      </c>
      <c r="C7" s="89" t="s">
        <v>94</v>
      </c>
      <c r="D7" s="4" t="s">
        <v>891</v>
      </c>
      <c r="E7" s="31">
        <v>5</v>
      </c>
      <c r="F7" s="21">
        <v>4</v>
      </c>
      <c r="G7" s="79" t="s">
        <v>940</v>
      </c>
      <c r="H7" s="31">
        <v>1.4</v>
      </c>
      <c r="I7" s="79" t="s">
        <v>941</v>
      </c>
      <c r="J7" s="4" t="s">
        <v>880</v>
      </c>
      <c r="K7" s="88" t="s">
        <v>932</v>
      </c>
      <c r="L7" s="4" t="s">
        <v>942</v>
      </c>
      <c r="M7" s="30" t="s">
        <v>943</v>
      </c>
      <c r="N7" s="30" t="s">
        <v>944</v>
      </c>
    </row>
    <row r="8" spans="1:14" ht="21.75" customHeight="1" x14ac:dyDescent="0.3">
      <c r="A8" s="43" t="s">
        <v>945</v>
      </c>
      <c r="B8" s="4" t="s">
        <v>583</v>
      </c>
      <c r="C8" s="89" t="s">
        <v>128</v>
      </c>
      <c r="D8" s="4" t="s">
        <v>885</v>
      </c>
      <c r="E8" s="31">
        <v>5</v>
      </c>
      <c r="F8" s="21">
        <v>5</v>
      </c>
      <c r="G8" s="32" t="s">
        <v>930</v>
      </c>
      <c r="H8" s="31">
        <v>1.2</v>
      </c>
      <c r="I8" s="32" t="s">
        <v>931</v>
      </c>
      <c r="J8" s="4" t="s">
        <v>872</v>
      </c>
      <c r="K8" s="88" t="s">
        <v>932</v>
      </c>
      <c r="L8" s="36" t="s">
        <v>946</v>
      </c>
      <c r="M8" s="30" t="s">
        <v>947</v>
      </c>
      <c r="N8" s="30" t="s">
        <v>935</v>
      </c>
    </row>
    <row r="9" spans="1:14" ht="21.75" customHeight="1" x14ac:dyDescent="0.3">
      <c r="A9" s="43" t="s">
        <v>948</v>
      </c>
      <c r="B9" s="4" t="s">
        <v>583</v>
      </c>
      <c r="C9" s="89" t="s">
        <v>94</v>
      </c>
      <c r="D9" s="4" t="s">
        <v>891</v>
      </c>
      <c r="E9" s="31">
        <v>5</v>
      </c>
      <c r="F9" s="21">
        <v>5</v>
      </c>
      <c r="G9" s="32" t="s">
        <v>930</v>
      </c>
      <c r="H9" s="31">
        <v>1.6</v>
      </c>
      <c r="I9" s="32" t="s">
        <v>931</v>
      </c>
      <c r="J9" s="4" t="s">
        <v>880</v>
      </c>
      <c r="K9" s="88" t="s">
        <v>932</v>
      </c>
      <c r="L9" s="4" t="s">
        <v>949</v>
      </c>
      <c r="M9" s="30" t="s">
        <v>950</v>
      </c>
      <c r="N9" s="30" t="s">
        <v>935</v>
      </c>
    </row>
    <row r="10" spans="1:14" ht="18" customHeight="1" x14ac:dyDescent="0.3">
      <c r="A10" s="90"/>
      <c r="B10" s="90"/>
      <c r="C10" s="90"/>
      <c r="D10" s="90"/>
      <c r="E10" s="90"/>
      <c r="F10" s="90"/>
      <c r="G10" s="90"/>
      <c r="H10" s="90"/>
      <c r="I10" s="90"/>
      <c r="J10" s="90"/>
      <c r="K10" s="90"/>
      <c r="L10" s="90"/>
      <c r="M10" s="90"/>
      <c r="N10" s="90"/>
    </row>
    <row r="11" spans="1:14" ht="18" customHeight="1" x14ac:dyDescent="0.3">
      <c r="A11" s="91"/>
      <c r="B11" s="91"/>
      <c r="C11" s="91"/>
      <c r="D11" s="91"/>
      <c r="E11" s="91"/>
      <c r="F11" s="91"/>
      <c r="G11" s="91"/>
      <c r="H11" s="91"/>
      <c r="I11" s="91"/>
      <c r="J11" s="91"/>
      <c r="K11" s="91"/>
      <c r="L11" s="91"/>
      <c r="M11" s="91"/>
      <c r="N11" s="91"/>
    </row>
    <row r="12" spans="1:14" ht="18" customHeight="1" x14ac:dyDescent="0.3">
      <c r="A12" s="90"/>
      <c r="B12" s="90"/>
      <c r="C12" s="90"/>
      <c r="D12" s="90"/>
      <c r="E12" s="90"/>
      <c r="F12" s="90"/>
      <c r="G12" s="90"/>
      <c r="H12" s="90"/>
      <c r="I12" s="90"/>
      <c r="J12" s="90"/>
      <c r="K12" s="90"/>
      <c r="L12" s="90"/>
      <c r="M12" s="90"/>
      <c r="N12" s="90"/>
    </row>
    <row r="13" spans="1:14" ht="18" customHeight="1" x14ac:dyDescent="0.3">
      <c r="A13" s="91"/>
      <c r="B13" s="91"/>
      <c r="C13" s="91"/>
      <c r="D13" s="91"/>
      <c r="E13" s="91"/>
      <c r="F13" s="91"/>
      <c r="G13" s="91"/>
      <c r="H13" s="91"/>
      <c r="I13" s="91"/>
      <c r="J13" s="91"/>
      <c r="K13" s="91"/>
      <c r="L13" s="91"/>
      <c r="M13" s="91"/>
      <c r="N13" s="91"/>
    </row>
    <row r="14" spans="1:14" ht="18" customHeight="1" x14ac:dyDescent="0.3">
      <c r="A14" s="90"/>
      <c r="B14" s="90"/>
      <c r="C14" s="90"/>
      <c r="D14" s="90"/>
      <c r="E14" s="90"/>
      <c r="F14" s="90"/>
      <c r="G14" s="90"/>
      <c r="H14" s="90"/>
      <c r="I14" s="90"/>
      <c r="J14" s="90"/>
      <c r="K14" s="90"/>
      <c r="L14" s="90"/>
      <c r="M14" s="90"/>
      <c r="N14" s="90"/>
    </row>
  </sheetData>
  <mergeCells count="2">
    <mergeCell ref="A1:N2"/>
    <mergeCell ref="A3:N3"/>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B45309"/>
  </sheetPr>
  <dimension ref="A1:J17"/>
  <sheetViews>
    <sheetView showGridLines="0" workbookViewId="0">
      <pane xSplit="2" ySplit="4" topLeftCell="C5" activePane="bottomRight" state="frozen"/>
      <selection pane="topRight" activeCell="C1" sqref="C1"/>
      <selection pane="bottomLeft" activeCell="A5" sqref="A5"/>
      <selection pane="bottomRight" activeCell="E29" sqref="E29"/>
    </sheetView>
  </sheetViews>
  <sheetFormatPr defaultColWidth="8.6640625" defaultRowHeight="14.4" x14ac:dyDescent="0.3"/>
  <cols>
    <col min="1" max="4" width="14" customWidth="1"/>
    <col min="5" max="5" width="65.44140625" bestFit="1" customWidth="1"/>
    <col min="6" max="7" width="14" customWidth="1"/>
    <col min="8" max="8" width="12" customWidth="1"/>
    <col min="9" max="9" width="20" customWidth="1"/>
    <col min="10" max="10" width="37.109375" bestFit="1" customWidth="1"/>
  </cols>
  <sheetData>
    <row r="1" spans="1:10" x14ac:dyDescent="0.3">
      <c r="A1" s="101" t="s">
        <v>951</v>
      </c>
      <c r="B1" s="101"/>
      <c r="C1" s="101"/>
      <c r="D1" s="101"/>
      <c r="E1" s="101"/>
      <c r="F1" s="101"/>
      <c r="G1" s="101"/>
      <c r="H1" s="101"/>
      <c r="I1" s="101"/>
      <c r="J1" s="101"/>
    </row>
    <row r="2" spans="1:10" x14ac:dyDescent="0.3">
      <c r="A2" s="101"/>
      <c r="B2" s="101"/>
      <c r="C2" s="101"/>
      <c r="D2" s="101"/>
      <c r="E2" s="101"/>
      <c r="F2" s="101"/>
      <c r="G2" s="101"/>
      <c r="H2" s="101"/>
      <c r="I2" s="101"/>
      <c r="J2" s="101"/>
    </row>
    <row r="3" spans="1:10" x14ac:dyDescent="0.3">
      <c r="A3" s="102" t="s">
        <v>952</v>
      </c>
      <c r="B3" s="102"/>
      <c r="C3" s="102"/>
      <c r="D3" s="102"/>
      <c r="E3" s="102"/>
      <c r="F3" s="102"/>
      <c r="G3" s="102"/>
      <c r="H3" s="102"/>
      <c r="I3" s="102"/>
      <c r="J3" s="102"/>
    </row>
    <row r="4" spans="1:10" ht="36" customHeight="1" x14ac:dyDescent="0.3">
      <c r="A4" s="24" t="s">
        <v>953</v>
      </c>
      <c r="B4" s="24" t="s">
        <v>70</v>
      </c>
      <c r="C4" s="24" t="s">
        <v>954</v>
      </c>
      <c r="D4" s="24" t="s">
        <v>955</v>
      </c>
      <c r="E4" s="24" t="s">
        <v>956</v>
      </c>
      <c r="F4" s="24" t="s">
        <v>957</v>
      </c>
      <c r="G4" s="24" t="s">
        <v>958</v>
      </c>
      <c r="H4" s="24" t="s">
        <v>575</v>
      </c>
      <c r="I4" s="24" t="s">
        <v>959</v>
      </c>
      <c r="J4" s="24" t="s">
        <v>81</v>
      </c>
    </row>
    <row r="5" spans="1:10" ht="21.75" customHeight="1" x14ac:dyDescent="0.3">
      <c r="A5" s="43" t="s">
        <v>960</v>
      </c>
      <c r="B5" s="79" t="s">
        <v>94</v>
      </c>
      <c r="C5" s="74" t="s">
        <v>929</v>
      </c>
      <c r="D5" s="32" t="s">
        <v>961</v>
      </c>
      <c r="E5" s="4" t="s">
        <v>962</v>
      </c>
      <c r="F5" s="4" t="s">
        <v>880</v>
      </c>
      <c r="G5" s="4" t="s">
        <v>891</v>
      </c>
      <c r="H5" s="32" t="s">
        <v>963</v>
      </c>
      <c r="I5" s="30" t="s">
        <v>943</v>
      </c>
      <c r="J5" s="4" t="s">
        <v>964</v>
      </c>
    </row>
    <row r="6" spans="1:10" ht="21.75" customHeight="1" x14ac:dyDescent="0.3">
      <c r="A6" s="43" t="s">
        <v>965</v>
      </c>
      <c r="B6" s="79" t="s">
        <v>99</v>
      </c>
      <c r="C6" s="74" t="s">
        <v>782</v>
      </c>
      <c r="D6" s="32" t="s">
        <v>966</v>
      </c>
      <c r="E6" s="36" t="s">
        <v>967</v>
      </c>
      <c r="F6" s="4" t="s">
        <v>872</v>
      </c>
      <c r="G6" s="4" t="s">
        <v>872</v>
      </c>
      <c r="H6" s="32" t="s">
        <v>963</v>
      </c>
      <c r="I6" s="30" t="s">
        <v>968</v>
      </c>
      <c r="J6" s="36" t="s">
        <v>969</v>
      </c>
    </row>
    <row r="7" spans="1:10" ht="21.75" customHeight="1" x14ac:dyDescent="0.3">
      <c r="A7" s="43" t="s">
        <v>970</v>
      </c>
      <c r="B7" s="79" t="s">
        <v>106</v>
      </c>
      <c r="C7" s="74" t="s">
        <v>619</v>
      </c>
      <c r="D7" s="32" t="s">
        <v>971</v>
      </c>
      <c r="E7" s="4" t="s">
        <v>972</v>
      </c>
      <c r="F7" s="4" t="s">
        <v>872</v>
      </c>
      <c r="G7" s="4" t="s">
        <v>885</v>
      </c>
      <c r="H7" s="32" t="s">
        <v>963</v>
      </c>
      <c r="I7" s="30" t="s">
        <v>973</v>
      </c>
      <c r="J7" s="4" t="s">
        <v>974</v>
      </c>
    </row>
    <row r="8" spans="1:10" ht="18" customHeight="1" x14ac:dyDescent="0.3">
      <c r="A8" s="90"/>
      <c r="B8" s="90"/>
      <c r="C8" s="90"/>
      <c r="D8" s="90"/>
      <c r="E8" s="90"/>
      <c r="F8" s="90"/>
      <c r="G8" s="90"/>
      <c r="H8" s="90"/>
      <c r="I8" s="90"/>
      <c r="J8" s="90"/>
    </row>
    <row r="9" spans="1:10" ht="18" customHeight="1" x14ac:dyDescent="0.3">
      <c r="A9" s="91"/>
      <c r="B9" s="91"/>
      <c r="C9" s="91"/>
      <c r="D9" s="91"/>
      <c r="E9" s="91"/>
      <c r="F9" s="91"/>
      <c r="G9" s="91"/>
      <c r="H9" s="91"/>
      <c r="I9" s="91"/>
      <c r="J9" s="91"/>
    </row>
    <row r="10" spans="1:10" ht="18" customHeight="1" x14ac:dyDescent="0.3">
      <c r="A10" s="90"/>
      <c r="B10" s="90"/>
      <c r="C10" s="90"/>
      <c r="D10" s="90"/>
      <c r="E10" s="90"/>
      <c r="F10" s="90"/>
      <c r="G10" s="90"/>
      <c r="H10" s="90"/>
      <c r="I10" s="90"/>
      <c r="J10" s="90"/>
    </row>
    <row r="11" spans="1:10" ht="18" customHeight="1" x14ac:dyDescent="0.3">
      <c r="A11" s="91"/>
      <c r="B11" s="91"/>
      <c r="C11" s="91"/>
      <c r="D11" s="91"/>
      <c r="E11" s="91"/>
      <c r="F11" s="91"/>
      <c r="G11" s="91"/>
      <c r="H11" s="91"/>
      <c r="I11" s="91"/>
      <c r="J11" s="91"/>
    </row>
    <row r="12" spans="1:10" ht="18" customHeight="1" x14ac:dyDescent="0.3">
      <c r="A12" s="90"/>
      <c r="B12" s="90"/>
      <c r="C12" s="90"/>
      <c r="D12" s="90"/>
      <c r="E12" s="90"/>
      <c r="F12" s="90"/>
      <c r="G12" s="90"/>
      <c r="H12" s="90"/>
      <c r="I12" s="90"/>
      <c r="J12" s="90"/>
    </row>
    <row r="13" spans="1:10" ht="18" customHeight="1" x14ac:dyDescent="0.3">
      <c r="A13" s="91"/>
      <c r="B13" s="91"/>
      <c r="C13" s="91"/>
      <c r="D13" s="91"/>
      <c r="E13" s="91"/>
      <c r="F13" s="91"/>
      <c r="G13" s="91"/>
      <c r="H13" s="91"/>
      <c r="I13" s="91"/>
      <c r="J13" s="91"/>
    </row>
    <row r="14" spans="1:10" ht="18" customHeight="1" x14ac:dyDescent="0.3">
      <c r="A14" s="90"/>
      <c r="B14" s="90"/>
      <c r="C14" s="90"/>
      <c r="D14" s="90"/>
      <c r="E14" s="90"/>
      <c r="F14" s="90"/>
      <c r="G14" s="90"/>
      <c r="H14" s="90"/>
      <c r="I14" s="90"/>
      <c r="J14" s="90"/>
    </row>
    <row r="15" spans="1:10" ht="18" customHeight="1" x14ac:dyDescent="0.3">
      <c r="A15" s="91"/>
      <c r="B15" s="91"/>
      <c r="C15" s="91"/>
      <c r="D15" s="91"/>
      <c r="E15" s="91"/>
      <c r="F15" s="91"/>
      <c r="G15" s="91"/>
      <c r="H15" s="91"/>
      <c r="I15" s="91"/>
      <c r="J15" s="91"/>
    </row>
    <row r="16" spans="1:10" ht="18" customHeight="1" x14ac:dyDescent="0.3">
      <c r="A16" s="90"/>
      <c r="B16" s="90"/>
      <c r="C16" s="90"/>
      <c r="D16" s="90"/>
      <c r="E16" s="90"/>
      <c r="F16" s="90"/>
      <c r="G16" s="90"/>
      <c r="H16" s="90"/>
      <c r="I16" s="90"/>
      <c r="J16" s="90"/>
    </row>
    <row r="17" spans="1:10" ht="18" customHeight="1" x14ac:dyDescent="0.3">
      <c r="A17" s="91"/>
      <c r="B17" s="91"/>
      <c r="C17" s="91"/>
      <c r="D17" s="91"/>
      <c r="E17" s="91"/>
      <c r="F17" s="91"/>
      <c r="G17" s="91"/>
      <c r="H17" s="91"/>
      <c r="I17" s="91"/>
      <c r="J17" s="91"/>
    </row>
  </sheetData>
  <mergeCells count="2">
    <mergeCell ref="A1:J2"/>
    <mergeCell ref="A3:J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65F46"/>
  </sheetPr>
  <dimension ref="A1:H12"/>
  <sheetViews>
    <sheetView showGridLines="0" workbookViewId="0">
      <pane xSplit="1" ySplit="4" topLeftCell="B5" activePane="bottomRight" state="frozen"/>
      <selection pane="topRight" activeCell="B1" sqref="B1"/>
      <selection pane="bottomLeft" activeCell="A5" sqref="A5"/>
      <selection pane="bottomRight" activeCell="F17" sqref="F17"/>
    </sheetView>
  </sheetViews>
  <sheetFormatPr defaultColWidth="8.6640625" defaultRowHeight="14.4" x14ac:dyDescent="0.3"/>
  <cols>
    <col min="1" max="1" width="12" customWidth="1"/>
    <col min="2" max="2" width="28" customWidth="1"/>
    <col min="3" max="3" width="16" customWidth="1"/>
    <col min="4" max="4" width="12.5546875" customWidth="1"/>
    <col min="5" max="5" width="21.6640625" bestFit="1" customWidth="1"/>
    <col min="6" max="6" width="73.109375" bestFit="1" customWidth="1"/>
    <col min="7" max="7" width="12.88671875" bestFit="1" customWidth="1"/>
    <col min="8" max="8" width="59.88671875" bestFit="1" customWidth="1"/>
  </cols>
  <sheetData>
    <row r="1" spans="1:8" x14ac:dyDescent="0.3">
      <c r="A1" s="101" t="s">
        <v>975</v>
      </c>
      <c r="B1" s="101"/>
      <c r="C1" s="101"/>
      <c r="D1" s="101"/>
      <c r="E1" s="101"/>
      <c r="F1" s="101"/>
      <c r="G1" s="101"/>
      <c r="H1" s="101"/>
    </row>
    <row r="2" spans="1:8" x14ac:dyDescent="0.3">
      <c r="A2" s="101"/>
      <c r="B2" s="101"/>
      <c r="C2" s="101"/>
      <c r="D2" s="101"/>
      <c r="E2" s="101"/>
      <c r="F2" s="101"/>
      <c r="G2" s="101"/>
      <c r="H2" s="101"/>
    </row>
    <row r="3" spans="1:8" x14ac:dyDescent="0.3">
      <c r="A3" s="102" t="s">
        <v>976</v>
      </c>
      <c r="B3" s="102"/>
      <c r="C3" s="102"/>
      <c r="D3" s="102"/>
      <c r="E3" s="102"/>
      <c r="F3" s="102"/>
      <c r="G3" s="102"/>
      <c r="H3" s="102"/>
    </row>
    <row r="4" spans="1:8" ht="36" customHeight="1" x14ac:dyDescent="0.3">
      <c r="A4" s="24" t="s">
        <v>977</v>
      </c>
      <c r="B4" s="24" t="s">
        <v>978</v>
      </c>
      <c r="C4" s="24" t="s">
        <v>979</v>
      </c>
      <c r="D4" s="24" t="s">
        <v>980</v>
      </c>
      <c r="E4" s="24" t="s">
        <v>981</v>
      </c>
      <c r="F4" s="24" t="s">
        <v>982</v>
      </c>
      <c r="G4" s="24" t="s">
        <v>80</v>
      </c>
      <c r="H4" s="24" t="s">
        <v>81</v>
      </c>
    </row>
    <row r="5" spans="1:8" ht="21.75" customHeight="1" x14ac:dyDescent="0.3">
      <c r="A5" s="43" t="s">
        <v>983</v>
      </c>
      <c r="B5" s="92" t="s">
        <v>984</v>
      </c>
      <c r="C5" s="28">
        <v>9</v>
      </c>
      <c r="D5" s="4" t="s">
        <v>985</v>
      </c>
      <c r="E5" s="4" t="s">
        <v>24</v>
      </c>
      <c r="F5" s="93" t="s">
        <v>986</v>
      </c>
      <c r="G5" s="30" t="s">
        <v>987</v>
      </c>
      <c r="H5" s="4" t="s">
        <v>988</v>
      </c>
    </row>
    <row r="6" spans="1:8" ht="21.75" customHeight="1" x14ac:dyDescent="0.3">
      <c r="A6" s="43" t="s">
        <v>989</v>
      </c>
      <c r="B6" s="92" t="s">
        <v>990</v>
      </c>
      <c r="C6" s="28">
        <v>7.5</v>
      </c>
      <c r="D6" s="4" t="s">
        <v>991</v>
      </c>
      <c r="E6" s="4" t="s">
        <v>21</v>
      </c>
      <c r="F6" s="93" t="s">
        <v>992</v>
      </c>
      <c r="G6" s="30" t="s">
        <v>993</v>
      </c>
      <c r="H6" s="36" t="s">
        <v>994</v>
      </c>
    </row>
    <row r="7" spans="1:8" ht="21.75" customHeight="1" x14ac:dyDescent="0.3">
      <c r="A7" s="43" t="s">
        <v>995</v>
      </c>
      <c r="B7" s="92" t="s">
        <v>996</v>
      </c>
      <c r="C7" s="28">
        <v>3</v>
      </c>
      <c r="D7" s="4" t="s">
        <v>997</v>
      </c>
      <c r="E7" s="4" t="s">
        <v>21</v>
      </c>
      <c r="F7" s="93" t="s">
        <v>998</v>
      </c>
      <c r="G7" s="30" t="s">
        <v>987</v>
      </c>
      <c r="H7" s="4" t="s">
        <v>999</v>
      </c>
    </row>
    <row r="8" spans="1:8" ht="21.75" customHeight="1" x14ac:dyDescent="0.3">
      <c r="A8" s="43" t="s">
        <v>1000</v>
      </c>
      <c r="B8" s="92" t="s">
        <v>1001</v>
      </c>
      <c r="C8" s="28">
        <v>65</v>
      </c>
      <c r="D8" s="4" t="s">
        <v>1002</v>
      </c>
      <c r="E8" s="4" t="s">
        <v>39</v>
      </c>
      <c r="F8" s="93" t="s">
        <v>1003</v>
      </c>
      <c r="G8" s="30" t="s">
        <v>1004</v>
      </c>
      <c r="H8" s="36" t="s">
        <v>1005</v>
      </c>
    </row>
    <row r="9" spans="1:8" ht="21.75" customHeight="1" x14ac:dyDescent="0.3">
      <c r="A9" s="43" t="s">
        <v>1006</v>
      </c>
      <c r="B9" s="92" t="s">
        <v>1007</v>
      </c>
      <c r="C9" s="28">
        <v>2</v>
      </c>
      <c r="D9" s="4" t="s">
        <v>1008</v>
      </c>
      <c r="E9" s="4" t="s">
        <v>27</v>
      </c>
      <c r="F9" s="93" t="s">
        <v>1009</v>
      </c>
      <c r="G9" s="30" t="s">
        <v>1010</v>
      </c>
      <c r="H9" s="4" t="s">
        <v>1011</v>
      </c>
    </row>
    <row r="10" spans="1:8" ht="21.75" customHeight="1" x14ac:dyDescent="0.3">
      <c r="A10" s="43" t="s">
        <v>1012</v>
      </c>
      <c r="B10" s="92" t="s">
        <v>1013</v>
      </c>
      <c r="C10" s="28">
        <v>6</v>
      </c>
      <c r="D10" s="4" t="s">
        <v>1008</v>
      </c>
      <c r="E10" s="4" t="s">
        <v>30</v>
      </c>
      <c r="F10" s="93" t="s">
        <v>1014</v>
      </c>
      <c r="G10" s="30" t="s">
        <v>734</v>
      </c>
      <c r="H10" s="36" t="s">
        <v>1015</v>
      </c>
    </row>
    <row r="11" spans="1:8" ht="21.75" customHeight="1" x14ac:dyDescent="0.3">
      <c r="A11" s="43" t="s">
        <v>1016</v>
      </c>
      <c r="B11" s="92" t="s">
        <v>1017</v>
      </c>
      <c r="C11" s="28">
        <v>11</v>
      </c>
      <c r="D11" s="4" t="s">
        <v>997</v>
      </c>
      <c r="E11" s="4" t="s">
        <v>21</v>
      </c>
      <c r="F11" s="93" t="s">
        <v>1018</v>
      </c>
      <c r="G11" s="30" t="s">
        <v>91</v>
      </c>
      <c r="H11" s="4" t="s">
        <v>1019</v>
      </c>
    </row>
    <row r="12" spans="1:8" ht="21.75" customHeight="1" x14ac:dyDescent="0.3">
      <c r="A12" s="43" t="s">
        <v>1020</v>
      </c>
      <c r="B12" s="92" t="s">
        <v>1021</v>
      </c>
      <c r="C12" s="28">
        <v>87</v>
      </c>
      <c r="D12" s="4" t="s">
        <v>1002</v>
      </c>
      <c r="E12" s="4" t="s">
        <v>39</v>
      </c>
      <c r="F12" s="93" t="s">
        <v>1022</v>
      </c>
      <c r="G12" s="30" t="s">
        <v>1004</v>
      </c>
      <c r="H12" s="36" t="s">
        <v>1023</v>
      </c>
    </row>
  </sheetData>
  <mergeCells count="2">
    <mergeCell ref="A1:H2"/>
    <mergeCell ref="A3:H3"/>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GUIDE</vt:lpstr>
      <vt:lpstr>SUBSYSTEM_MASTER</vt:lpstr>
      <vt:lpstr>CHECKLIST_TASKS</vt:lpstr>
      <vt:lpstr>CONSUMABLES</vt:lpstr>
      <vt:lpstr>FIXED_LIFE_SPARES</vt:lpstr>
      <vt:lpstr>CALENDAR_EVENTS</vt:lpstr>
      <vt:lpstr>USERS_RBAC</vt:lpstr>
      <vt:lpstr>PM_RECORDS</vt:lpstr>
      <vt:lpstr>RESCHEDULE_LOG</vt:lpstr>
      <vt:lpstr>SUMMARY_METRICS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RAKHI SHARMA</cp:lastModifiedBy>
  <cp:revision>0</cp:revision>
  <dcterms:created xsi:type="dcterms:W3CDTF">2026-06-11T11:31:45Z</dcterms:created>
  <dcterms:modified xsi:type="dcterms:W3CDTF">2026-08-19T08:24:11Z</dcterms:modified>
  <dc:language>en-US</dc:language>
</cp:coreProperties>
</file>